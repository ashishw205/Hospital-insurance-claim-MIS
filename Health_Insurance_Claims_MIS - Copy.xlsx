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975ada5a9f7b24a/Desktop/"/>
    </mc:Choice>
  </mc:AlternateContent>
  <xr:revisionPtr revIDLastSave="4" documentId="11_3B21D528B6DC54DA23A3D257925014E0358177A4" xr6:coauthVersionLast="47" xr6:coauthVersionMax="47" xr10:uidLastSave="{79A266F4-F364-4B43-900E-A0895FCDEC69}"/>
  <bookViews>
    <workbookView xWindow="28680" yWindow="-120" windowWidth="29040" windowHeight="15720" tabRatio="500" xr2:uid="{00000000-000D-0000-FFFF-FFFF00000000}"/>
  </bookViews>
  <sheets>
    <sheet name="Dashboard" sheetId="1" r:id="rId1"/>
    <sheet name="Insurer Analysis" sheetId="2" r:id="rId2"/>
    <sheet name="Procedure Analysis" sheetId="3" r:id="rId3"/>
    <sheet name="Region &amp; Demographics" sheetId="4" r:id="rId4"/>
    <sheet name="Denial Analysis" sheetId="5" r:id="rId5"/>
    <sheet name="Monthly Trend" sheetId="6" r:id="rId6"/>
    <sheet name="Raw Data" sheetId="7" r:id="rId7"/>
    <sheet name="_chart_data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6" l="1"/>
  <c r="B23" i="6"/>
  <c r="G13" i="3"/>
  <c r="E13" i="3"/>
  <c r="D13" i="3"/>
  <c r="C13" i="3"/>
  <c r="B13" i="3"/>
  <c r="G10" i="2"/>
  <c r="F10" i="2"/>
  <c r="E10" i="2"/>
  <c r="D10" i="2"/>
  <c r="B10" i="2"/>
</calcChain>
</file>

<file path=xl/sharedStrings.xml><?xml version="1.0" encoding="utf-8"?>
<sst xmlns="http://schemas.openxmlformats.org/spreadsheetml/2006/main" count="4863" uniqueCount="1367">
  <si>
    <t>2,025 Claims  ·  5 Insurers  ·  8 Procedures  ·  5 Regions  ·  Jan 2020 – Dec 2024</t>
  </si>
  <si>
    <t>KEY PERFORMANCE INDICATORS</t>
  </si>
  <si>
    <t>Total Claims</t>
  </si>
  <si>
    <t>Total Claimed</t>
  </si>
  <si>
    <t>Total Covered</t>
  </si>
  <si>
    <t>Uncovered Amount</t>
  </si>
  <si>
    <t>Approval Rate</t>
  </si>
  <si>
    <t>Denial Rate</t>
  </si>
  <si>
    <t>Pending Rate</t>
  </si>
  <si>
    <t>Avg Claim Value</t>
  </si>
  <si>
    <t>Coverage Ratio</t>
  </si>
  <si>
    <t>CLAIM STATUS SUMMARY</t>
  </si>
  <si>
    <t>Status</t>
  </si>
  <si>
    <t>Count</t>
  </si>
  <si>
    <t>% of Total</t>
  </si>
  <si>
    <t>Cumulative %</t>
  </si>
  <si>
    <t>Approved</t>
  </si>
  <si>
    <t>Pending</t>
  </si>
  <si>
    <t>Denied</t>
  </si>
  <si>
    <t>TOTAL</t>
  </si>
  <si>
    <t>100.0%</t>
  </si>
  <si>
    <t>Insurer-wise Claims Analysis</t>
  </si>
  <si>
    <t>INSURER PERFORMANCE SUMMARY</t>
  </si>
  <si>
    <t>Insurer</t>
  </si>
  <si>
    <t>Avg Claim (₹)</t>
  </si>
  <si>
    <t>Total Claimed (₹)</t>
  </si>
  <si>
    <t>Total Covered (₹)</t>
  </si>
  <si>
    <t>Denial Count</t>
  </si>
  <si>
    <t>Aetna</t>
  </si>
  <si>
    <t>Unitedhealth</t>
  </si>
  <si>
    <t>Humana</t>
  </si>
  <si>
    <t>Bluecross</t>
  </si>
  <si>
    <t>Cigna</t>
  </si>
  <si>
    <t>Procedure-wise Claims Analysis</t>
  </si>
  <si>
    <t>PROCEDURE PERFORMANCE SUMMARY</t>
  </si>
  <si>
    <t>Procedure</t>
  </si>
  <si>
    <t>Claims</t>
  </si>
  <si>
    <t>Benchmark Cost (₹)</t>
  </si>
  <si>
    <t>Complexity</t>
  </si>
  <si>
    <t>Variance (₹)</t>
  </si>
  <si>
    <t>Hip Replacement</t>
  </si>
  <si>
    <t>High</t>
  </si>
  <si>
    <t>MRI Scan</t>
  </si>
  <si>
    <t>Low</t>
  </si>
  <si>
    <t>Appendectomy</t>
  </si>
  <si>
    <t>Medium</t>
  </si>
  <si>
    <t>Dialysis</t>
  </si>
  <si>
    <t>Bypass Surgery</t>
  </si>
  <si>
    <t>Knee Surgery</t>
  </si>
  <si>
    <t>Cataract</t>
  </si>
  <si>
    <t>Chemotherapy</t>
  </si>
  <si>
    <t>Regional &amp; Demographic Analysis</t>
  </si>
  <si>
    <t>CLAIMS BY REGION</t>
  </si>
  <si>
    <t>CLAIMS BY AGE GROUP</t>
  </si>
  <si>
    <t>Region</t>
  </si>
  <si>
    <t>% Share</t>
  </si>
  <si>
    <t>Age Group</t>
  </si>
  <si>
    <t>Southwest</t>
  </si>
  <si>
    <t>&lt;18</t>
  </si>
  <si>
    <t>Northeast</t>
  </si>
  <si>
    <t>18-30</t>
  </si>
  <si>
    <t>Midwest</t>
  </si>
  <si>
    <t>31-45</t>
  </si>
  <si>
    <t>Southeast</t>
  </si>
  <si>
    <t>46-60</t>
  </si>
  <si>
    <t>West</t>
  </si>
  <si>
    <t>61-75</t>
  </si>
  <si>
    <t>75+</t>
  </si>
  <si>
    <t>Denial Analysis</t>
  </si>
  <si>
    <t>DENIAL REASONS BREAKDOWN</t>
  </si>
  <si>
    <t>Denial Reason</t>
  </si>
  <si>
    <t>% of Denials</t>
  </si>
  <si>
    <t>% of Total Claims</t>
  </si>
  <si>
    <t>Missing docs</t>
  </si>
  <si>
    <t>Pre-existing</t>
  </si>
  <si>
    <t>Out-of-network</t>
  </si>
  <si>
    <t>DENIALS BY INSURER</t>
  </si>
  <si>
    <t>Denials</t>
  </si>
  <si>
    <t>% of Insurer</t>
  </si>
  <si>
    <t>Monthly Claim Trend  (Jul 2023 – Dec 2024)</t>
  </si>
  <si>
    <t>MONTHLY CLAIM DATA</t>
  </si>
  <si>
    <t>Month</t>
  </si>
  <si>
    <t>Claim Count</t>
  </si>
  <si>
    <t>Total Amount (₹)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</si>
  <si>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</si>
  <si>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</si>
  <si>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</si>
  <si>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</si>
  <si>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</si>
  <si>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</si>
  <si>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</si>
  <si>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</si>
  <si>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</si>
  <si>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</si>
  <si>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</si>
  <si>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</si>
  <si>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</si>
  <si>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</si>
  <si>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</si>
  <si>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</si>
  <si>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</si>
  <si>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</si>
  <si>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Claim ID</t>
  </si>
  <si>
    <t>Patient ID</t>
  </si>
  <si>
    <t>Age</t>
  </si>
  <si>
    <t>Gender</t>
  </si>
  <si>
    <t>BMI</t>
  </si>
  <si>
    <t>Smoker</t>
  </si>
  <si>
    <t>Children</t>
  </si>
  <si>
    <t>Claim Date</t>
  </si>
  <si>
    <t>Claim Amount</t>
  </si>
  <si>
    <t>Covered Amount</t>
  </si>
  <si>
    <t>Claim Status</t>
  </si>
  <si>
    <t>CLM-000001</t>
  </si>
  <si>
    <t>PAT-00141</t>
  </si>
  <si>
    <t>Other</t>
  </si>
  <si>
    <t>Yes</t>
  </si>
  <si>
    <t>2022-09-14</t>
  </si>
  <si>
    <t>CLM-000002</t>
  </si>
  <si>
    <t>PAT-00173</t>
  </si>
  <si>
    <t>Male</t>
  </si>
  <si>
    <t>2020-03-05</t>
  </si>
  <si>
    <t>CLM-000003</t>
  </si>
  <si>
    <t>PAT-00473</t>
  </si>
  <si>
    <t>Female</t>
  </si>
  <si>
    <t>2022-07-05</t>
  </si>
  <si>
    <t>CLM-000004</t>
  </si>
  <si>
    <t>PAT-00452</t>
  </si>
  <si>
    <t>No</t>
  </si>
  <si>
    <t>2023-06-19</t>
  </si>
  <si>
    <t>CLM-000005</t>
  </si>
  <si>
    <t>PAT-00445</t>
  </si>
  <si>
    <t>2022-02-01</t>
  </si>
  <si>
    <t>CLM-000006</t>
  </si>
  <si>
    <t>PAT-00170</t>
  </si>
  <si>
    <t>2024-04-13</t>
  </si>
  <si>
    <t>CLM-000007</t>
  </si>
  <si>
    <t>PAT-00232</t>
  </si>
  <si>
    <t>2023-01-19</t>
  </si>
  <si>
    <t>CLM-000008</t>
  </si>
  <si>
    <t>PAT-00199</t>
  </si>
  <si>
    <t>2020-09-05</t>
  </si>
  <si>
    <t>CLM-000009</t>
  </si>
  <si>
    <t>PAT-00441</t>
  </si>
  <si>
    <t>2022-09-12</t>
  </si>
  <si>
    <t>CLM-000010</t>
  </si>
  <si>
    <t>PAT-00040</t>
  </si>
  <si>
    <t>2023-03-08</t>
  </si>
  <si>
    <t>CLM-000011</t>
  </si>
  <si>
    <t>PAT-00299</t>
  </si>
  <si>
    <t>2023-10-10</t>
  </si>
  <si>
    <t>CLM-000012</t>
  </si>
  <si>
    <t>PAT-00010</t>
  </si>
  <si>
    <t>2021-06-03</t>
  </si>
  <si>
    <t>CLM-000013</t>
  </si>
  <si>
    <t>PAT-00092</t>
  </si>
  <si>
    <t>2024-04-29</t>
  </si>
  <si>
    <t>CLM-000014</t>
  </si>
  <si>
    <t>PAT-00008</t>
  </si>
  <si>
    <t>2024-01-22</t>
  </si>
  <si>
    <t>CLM-000015</t>
  </si>
  <si>
    <t>PAT-00044</t>
  </si>
  <si>
    <t>2020-11-14</t>
  </si>
  <si>
    <t>CLM-000016</t>
  </si>
  <si>
    <t>PAT-00491</t>
  </si>
  <si>
    <t>2024-11-20</t>
  </si>
  <si>
    <t>CLM-000017</t>
  </si>
  <si>
    <t>PAT-00023</t>
  </si>
  <si>
    <t>2022-11-05</t>
  </si>
  <si>
    <t>CLM-000018</t>
  </si>
  <si>
    <t>PAT-00455</t>
  </si>
  <si>
    <t>2024-10-05</t>
  </si>
  <si>
    <t>CLM-000019</t>
  </si>
  <si>
    <t>PAT-00021</t>
  </si>
  <si>
    <t>2022-08-16</t>
  </si>
  <si>
    <t>CLM-000020</t>
  </si>
  <si>
    <t>PAT-00282</t>
  </si>
  <si>
    <t>2021-04-03</t>
  </si>
  <si>
    <t>CLM-000021</t>
  </si>
  <si>
    <t>PAT-00408</t>
  </si>
  <si>
    <t>2022-12-29</t>
  </si>
  <si>
    <t>CLM-000022</t>
  </si>
  <si>
    <t>PAT-00402</t>
  </si>
  <si>
    <t>2022-05-09</t>
  </si>
  <si>
    <t>CLM-000023</t>
  </si>
  <si>
    <t>PAT-00066</t>
  </si>
  <si>
    <t>2020-11-22</t>
  </si>
  <si>
    <t>CLM-000024</t>
  </si>
  <si>
    <t>PAT-00321</t>
  </si>
  <si>
    <t>2024-12-27</t>
  </si>
  <si>
    <t>CLM-000025</t>
  </si>
  <si>
    <t>PAT-00443</t>
  </si>
  <si>
    <t>2020-12-15</t>
  </si>
  <si>
    <t>CLM-000026</t>
  </si>
  <si>
    <t>PAT-00354</t>
  </si>
  <si>
    <t>2021-08-27</t>
  </si>
  <si>
    <t>CLM-000027</t>
  </si>
  <si>
    <t>PAT-00147</t>
  </si>
  <si>
    <t>2021-07-31</t>
  </si>
  <si>
    <t>CLM-000028</t>
  </si>
  <si>
    <t>PAT-00250</t>
  </si>
  <si>
    <t>2020-11-08</t>
  </si>
  <si>
    <t>CLM-000029</t>
  </si>
  <si>
    <t>PAT-00496</t>
  </si>
  <si>
    <t>2022-05-24</t>
  </si>
  <si>
    <t>CLM-000030</t>
  </si>
  <si>
    <t>PAT-00039</t>
  </si>
  <si>
    <t>2020-03-16</t>
  </si>
  <si>
    <t>CLM-000031</t>
  </si>
  <si>
    <t>PAT-00219</t>
  </si>
  <si>
    <t>2021-08-04</t>
  </si>
  <si>
    <t>CLM-000032</t>
  </si>
  <si>
    <t>PAT-00154</t>
  </si>
  <si>
    <t>2022-07-26</t>
  </si>
  <si>
    <t>CLM-000033</t>
  </si>
  <si>
    <t>PAT-00076</t>
  </si>
  <si>
    <t>2021-12-15</t>
  </si>
  <si>
    <t>CLM-000034</t>
  </si>
  <si>
    <t>PAT-00220</t>
  </si>
  <si>
    <t>2021-10-11</t>
  </si>
  <si>
    <t>CLM-000035</t>
  </si>
  <si>
    <t>PAT-00114</t>
  </si>
  <si>
    <t>2020-06-27</t>
  </si>
  <si>
    <t>CLM-000036</t>
  </si>
  <si>
    <t>PAT-00301</t>
  </si>
  <si>
    <t>2021-04-16</t>
  </si>
  <si>
    <t>CLM-000037</t>
  </si>
  <si>
    <t>PAT-00107</t>
  </si>
  <si>
    <t>2022-08-29</t>
  </si>
  <si>
    <t>CLM-000038</t>
  </si>
  <si>
    <t>PAT-00174</t>
  </si>
  <si>
    <t>2024-07-20</t>
  </si>
  <si>
    <t>CLM-000039</t>
  </si>
  <si>
    <t>PAT-00082</t>
  </si>
  <si>
    <t>2020-12-13</t>
  </si>
  <si>
    <t>CLM-000040</t>
  </si>
  <si>
    <t>PAT-00237</t>
  </si>
  <si>
    <t>2023-09-03</t>
  </si>
  <si>
    <t>CLM-000041</t>
  </si>
  <si>
    <t>PAT-00398</t>
  </si>
  <si>
    <t>2024-02-10</t>
  </si>
  <si>
    <t>CLM-000042</t>
  </si>
  <si>
    <t>PAT-00337</t>
  </si>
  <si>
    <t>2022-03-27</t>
  </si>
  <si>
    <t>CLM-000043</t>
  </si>
  <si>
    <t>PAT-00072</t>
  </si>
  <si>
    <t>2022-08-26</t>
  </si>
  <si>
    <t>CLM-000044</t>
  </si>
  <si>
    <t>PAT-00257</t>
  </si>
  <si>
    <t>2022-12-01</t>
  </si>
  <si>
    <t>CLM-000045</t>
  </si>
  <si>
    <t>PAT-00243</t>
  </si>
  <si>
    <t>2021-07-29</t>
  </si>
  <si>
    <t>CLM-000046</t>
  </si>
  <si>
    <t>2024-02-27</t>
  </si>
  <si>
    <t>CLM-000047</t>
  </si>
  <si>
    <t>PAT-00410</t>
  </si>
  <si>
    <t>2021-08-08</t>
  </si>
  <si>
    <t>CLM-000048</t>
  </si>
  <si>
    <t>PAT-00311</t>
  </si>
  <si>
    <t>2022-07-20</t>
  </si>
  <si>
    <t>CLM-000049</t>
  </si>
  <si>
    <t>2021-02-03</t>
  </si>
  <si>
    <t>CLM-000050</t>
  </si>
  <si>
    <t>PAT-00177</t>
  </si>
  <si>
    <t>2021-05-21</t>
  </si>
  <si>
    <t>CLM-000051</t>
  </si>
  <si>
    <t>PAT-00375</t>
  </si>
  <si>
    <t>2022-01-16</t>
  </si>
  <si>
    <t>CLM-000052</t>
  </si>
  <si>
    <t>PAT-00399</t>
  </si>
  <si>
    <t>2024-06-30</t>
  </si>
  <si>
    <t>CLM-000053</t>
  </si>
  <si>
    <t>PAT-00055</t>
  </si>
  <si>
    <t>2024-04-17</t>
  </si>
  <si>
    <t>CLM-000054</t>
  </si>
  <si>
    <t>PAT-00357</t>
  </si>
  <si>
    <t>2020-05-18</t>
  </si>
  <si>
    <t>CLM-000055</t>
  </si>
  <si>
    <t>PAT-00414</t>
  </si>
  <si>
    <t>2022-04-27</t>
  </si>
  <si>
    <t>CLM-000056</t>
  </si>
  <si>
    <t>PAT-00211</t>
  </si>
  <si>
    <t>2024-02-15</t>
  </si>
  <si>
    <t>CLM-000057</t>
  </si>
  <si>
    <t>2023-02-28</t>
  </si>
  <si>
    <t>CLM-000058</t>
  </si>
  <si>
    <t>PAT-00463</t>
  </si>
  <si>
    <t>2023-05-25</t>
  </si>
  <si>
    <t>CLM-000059</t>
  </si>
  <si>
    <t>PAT-00003</t>
  </si>
  <si>
    <t>2024-04-09</t>
  </si>
  <si>
    <t>CLM-000060</t>
  </si>
  <si>
    <t>PAT-00316</t>
  </si>
  <si>
    <t>2021-01-19</t>
  </si>
  <si>
    <t>CLM-000061</t>
  </si>
  <si>
    <t>PAT-00411</t>
  </si>
  <si>
    <t>2023-04-19</t>
  </si>
  <si>
    <t>CLM-000062</t>
  </si>
  <si>
    <t>PAT-00128</t>
  </si>
  <si>
    <t>2023-06-22</t>
  </si>
  <si>
    <t>CLM-000063</t>
  </si>
  <si>
    <t>PAT-00328</t>
  </si>
  <si>
    <t>2020-04-30</t>
  </si>
  <si>
    <t>CLM-000064</t>
  </si>
  <si>
    <t>PAT-00280</t>
  </si>
  <si>
    <t>2023-11-09</t>
  </si>
  <si>
    <t>CLM-000065</t>
  </si>
  <si>
    <t>2022-01-21</t>
  </si>
  <si>
    <t>CLM-000066</t>
  </si>
  <si>
    <t>PAT-00028</t>
  </si>
  <si>
    <t>2022-01-04</t>
  </si>
  <si>
    <t>CLM-000067</t>
  </si>
  <si>
    <t>PAT-00393</t>
  </si>
  <si>
    <t>2020-12-02</t>
  </si>
  <si>
    <t>CLM-000068</t>
  </si>
  <si>
    <t>PAT-00222</t>
  </si>
  <si>
    <t>2023-09-05</t>
  </si>
  <si>
    <t>CLM-000069</t>
  </si>
  <si>
    <t>PAT-00493</t>
  </si>
  <si>
    <t>2021-10-06</t>
  </si>
  <si>
    <t>CLM-000070</t>
  </si>
  <si>
    <t>PAT-00416</t>
  </si>
  <si>
    <t>2023-03-31</t>
  </si>
  <si>
    <t>CLM-000071</t>
  </si>
  <si>
    <t>PAT-00325</t>
  </si>
  <si>
    <t>2023-02-01</t>
  </si>
  <si>
    <t>CLM-000072</t>
  </si>
  <si>
    <t>PAT-00205</t>
  </si>
  <si>
    <t>2024-06-16</t>
  </si>
  <si>
    <t>CLM-000073</t>
  </si>
  <si>
    <t>PAT-00423</t>
  </si>
  <si>
    <t>2020-10-25</t>
  </si>
  <si>
    <t>CLM-000074</t>
  </si>
  <si>
    <t>PAT-00106</t>
  </si>
  <si>
    <t>2020-09-08</t>
  </si>
  <si>
    <t>CLM-000075</t>
  </si>
  <si>
    <t>PAT-00430</t>
  </si>
  <si>
    <t>2022-01-18</t>
  </si>
  <si>
    <t>CLM-000076</t>
  </si>
  <si>
    <t>PAT-00223</t>
  </si>
  <si>
    <t>2021-06-05</t>
  </si>
  <si>
    <t>CLM-000077</t>
  </si>
  <si>
    <t>PAT-00497</t>
  </si>
  <si>
    <t>2023-04-27</t>
  </si>
  <si>
    <t>CLM-000078</t>
  </si>
  <si>
    <t>PAT-00317</t>
  </si>
  <si>
    <t>2020-09-02</t>
  </si>
  <si>
    <t>CLM-000079</t>
  </si>
  <si>
    <t>PAT-00127</t>
  </si>
  <si>
    <t>2022-04-25</t>
  </si>
  <si>
    <t>CLM-000080</t>
  </si>
  <si>
    <t>PAT-00279</t>
  </si>
  <si>
    <t>2022-04-09</t>
  </si>
  <si>
    <t>CLM-000081</t>
  </si>
  <si>
    <t>PAT-00239</t>
  </si>
  <si>
    <t>CLM-000082</t>
  </si>
  <si>
    <t>PAT-00175</t>
  </si>
  <si>
    <t>2021-02-09</t>
  </si>
  <si>
    <t>CLM-000083</t>
  </si>
  <si>
    <t>PAT-00200</t>
  </si>
  <si>
    <t>2024-12-18</t>
  </si>
  <si>
    <t>CLM-000084</t>
  </si>
  <si>
    <t>2021-05-08</t>
  </si>
  <si>
    <t>CLM-000085</t>
  </si>
  <si>
    <t>PAT-00350</t>
  </si>
  <si>
    <t>2021-06-20</t>
  </si>
  <si>
    <t>CLM-000086</t>
  </si>
  <si>
    <t>2021-11-02</t>
  </si>
  <si>
    <t>CLM-000087</t>
  </si>
  <si>
    <t>2024-04-19</t>
  </si>
  <si>
    <t>CLM-000088</t>
  </si>
  <si>
    <t>2022-05-08</t>
  </si>
  <si>
    <t>CLM-000089</t>
  </si>
  <si>
    <t>PAT-00227</t>
  </si>
  <si>
    <t>2021-12-14</t>
  </si>
  <si>
    <t>CLM-000090</t>
  </si>
  <si>
    <t>PAT-00058</t>
  </si>
  <si>
    <t>2022-12-12</t>
  </si>
  <si>
    <t>CLM-000091</t>
  </si>
  <si>
    <t>PAT-00464</t>
  </si>
  <si>
    <t>2024-09-18</t>
  </si>
  <si>
    <t>CLM-000092</t>
  </si>
  <si>
    <t>2021-02-24</t>
  </si>
  <si>
    <t>CLM-000093</t>
  </si>
  <si>
    <t>PAT-00451</t>
  </si>
  <si>
    <t>2024-04-10</t>
  </si>
  <si>
    <t>CLM-000094</t>
  </si>
  <si>
    <t>2023-01-02</t>
  </si>
  <si>
    <t>CLM-000095</t>
  </si>
  <si>
    <t>2023-08-21</t>
  </si>
  <si>
    <t>CLM-000096</t>
  </si>
  <si>
    <t>PAT-00161</t>
  </si>
  <si>
    <t>CLM-000097</t>
  </si>
  <si>
    <t>2022-12-03</t>
  </si>
  <si>
    <t>CLM-000098</t>
  </si>
  <si>
    <t>PAT-00061</t>
  </si>
  <si>
    <t>2023-10-02</t>
  </si>
  <si>
    <t>CLM-000099</t>
  </si>
  <si>
    <t>PAT-00004</t>
  </si>
  <si>
    <t>2021-11-22</t>
  </si>
  <si>
    <t>CLM-000100</t>
  </si>
  <si>
    <t>CLM-000101</t>
  </si>
  <si>
    <t>PAT-00294</t>
  </si>
  <si>
    <t>2021-11-18</t>
  </si>
  <si>
    <t>CLM-000102</t>
  </si>
  <si>
    <t>PAT-00157</t>
  </si>
  <si>
    <t>2023-04-03</t>
  </si>
  <si>
    <t>CLM-000103</t>
  </si>
  <si>
    <t>PAT-00431</t>
  </si>
  <si>
    <t>2023-11-10</t>
  </si>
  <si>
    <t>CLM-000104</t>
  </si>
  <si>
    <t>PAT-00188</t>
  </si>
  <si>
    <t>2022-12-18</t>
  </si>
  <si>
    <t>CLM-000105</t>
  </si>
  <si>
    <t>PAT-00312</t>
  </si>
  <si>
    <t>CLM-000106</t>
  </si>
  <si>
    <t>PAT-00494</t>
  </si>
  <si>
    <t>2024-11-26</t>
  </si>
  <si>
    <t>CLM-000107</t>
  </si>
  <si>
    <t>PAT-00160</t>
  </si>
  <si>
    <t>2024-08-26</t>
  </si>
  <si>
    <t>CLM-000108</t>
  </si>
  <si>
    <t>PAT-00268</t>
  </si>
  <si>
    <t>2022-01-17</t>
  </si>
  <si>
    <t>CLM-000109</t>
  </si>
  <si>
    <t>PAT-00459</t>
  </si>
  <si>
    <t>2020-01-08</t>
  </si>
  <si>
    <t>CLM-000110</t>
  </si>
  <si>
    <t>PAT-00030</t>
  </si>
  <si>
    <t>2020-12-01</t>
  </si>
  <si>
    <t>CLM-000111</t>
  </si>
  <si>
    <t>PAT-00427</t>
  </si>
  <si>
    <t>2024-01-28</t>
  </si>
  <si>
    <t>CLM-000112</t>
  </si>
  <si>
    <t>PAT-00142</t>
  </si>
  <si>
    <t>2023-08-27</t>
  </si>
  <si>
    <t>CLM-000113</t>
  </si>
  <si>
    <t>2023-10-20</t>
  </si>
  <si>
    <t>CLM-000114</t>
  </si>
  <si>
    <t>2024-09-17</t>
  </si>
  <si>
    <t>CLM-000115</t>
  </si>
  <si>
    <t>PAT-00370</t>
  </si>
  <si>
    <t>2022-07-25</t>
  </si>
  <si>
    <t>CLM-000116</t>
  </si>
  <si>
    <t>PAT-00096</t>
  </si>
  <si>
    <t>2021-05-22</t>
  </si>
  <si>
    <t>CLM-000117</t>
  </si>
  <si>
    <t>2024-05-26</t>
  </si>
  <si>
    <t>CLM-000118</t>
  </si>
  <si>
    <t>PAT-00261</t>
  </si>
  <si>
    <t>2023-05-09</t>
  </si>
  <si>
    <t>CLM-000119</t>
  </si>
  <si>
    <t>PAT-00292</t>
  </si>
  <si>
    <t>2020-03-18</t>
  </si>
  <si>
    <t>CLM-000120</t>
  </si>
  <si>
    <t>PAT-00116</t>
  </si>
  <si>
    <t>2020-08-01</t>
  </si>
  <si>
    <t>CLM-000121</t>
  </si>
  <si>
    <t>PAT-00278</t>
  </si>
  <si>
    <t>2022-05-16</t>
  </si>
  <si>
    <t>CLM-000122</t>
  </si>
  <si>
    <t>PAT-00169</t>
  </si>
  <si>
    <t>2020-01-30</t>
  </si>
  <si>
    <t>CLM-000123</t>
  </si>
  <si>
    <t>PAT-00465</t>
  </si>
  <si>
    <t>2020-01-19</t>
  </si>
  <si>
    <t>CLM-000124</t>
  </si>
  <si>
    <t>PAT-00202</t>
  </si>
  <si>
    <t>2020-09-16</t>
  </si>
  <si>
    <t>CLM-000125</t>
  </si>
  <si>
    <t>PAT-00401</t>
  </si>
  <si>
    <t>2021-03-12</t>
  </si>
  <si>
    <t>CLM-000126</t>
  </si>
  <si>
    <t>PAT-00083</t>
  </si>
  <si>
    <t>2020-02-14</t>
  </si>
  <si>
    <t>CLM-000127</t>
  </si>
  <si>
    <t>PAT-00123</t>
  </si>
  <si>
    <t>2023-11-13</t>
  </si>
  <si>
    <t>CLM-000128</t>
  </si>
  <si>
    <t>2020-10-04</t>
  </si>
  <si>
    <t>CLM-000129</t>
  </si>
  <si>
    <t>PAT-00379</t>
  </si>
  <si>
    <t>2021-12-03</t>
  </si>
  <si>
    <t>CLM-000130</t>
  </si>
  <si>
    <t>PAT-00335</t>
  </si>
  <si>
    <t>2023-03-01</t>
  </si>
  <si>
    <t>CLM-000131</t>
  </si>
  <si>
    <t>2021-11-26</t>
  </si>
  <si>
    <t>CLM-000132</t>
  </si>
  <si>
    <t>PAT-00495</t>
  </si>
  <si>
    <t>2020-07-09</t>
  </si>
  <si>
    <t>CLM-000133</t>
  </si>
  <si>
    <t>PAT-00190</t>
  </si>
  <si>
    <t>2022-02-25</t>
  </si>
  <si>
    <t>CLM-000134</t>
  </si>
  <si>
    <t>PAT-00057</t>
  </si>
  <si>
    <t>2023-01-18</t>
  </si>
  <si>
    <t>CLM-000135</t>
  </si>
  <si>
    <t>PAT-00456</t>
  </si>
  <si>
    <t>2023-06-10</t>
  </si>
  <si>
    <t>CLM-000136</t>
  </si>
  <si>
    <t>PAT-00273</t>
  </si>
  <si>
    <t>2024-04-25</t>
  </si>
  <si>
    <t>CLM-000137</t>
  </si>
  <si>
    <t>2023-02-18</t>
  </si>
  <si>
    <t>CLM-000138</t>
  </si>
  <si>
    <t>PAT-00037</t>
  </si>
  <si>
    <t>CLM-000139</t>
  </si>
  <si>
    <t>PAT-00085</t>
  </si>
  <si>
    <t>2024-03-21</t>
  </si>
  <si>
    <t>CLM-000140</t>
  </si>
  <si>
    <t>PAT-00369</t>
  </si>
  <si>
    <t>2020-08-10</t>
  </si>
  <si>
    <t>CLM-000141</t>
  </si>
  <si>
    <t>PAT-00207</t>
  </si>
  <si>
    <t>2023-02-27</t>
  </si>
  <si>
    <t>CLM-000142</t>
  </si>
  <si>
    <t>2023-03-04</t>
  </si>
  <si>
    <t>CLM-000143</t>
  </si>
  <si>
    <t>2024-08-19</t>
  </si>
  <si>
    <t>CLM-000144</t>
  </si>
  <si>
    <t>PAT-00314</t>
  </si>
  <si>
    <t>2023-10-23</t>
  </si>
  <si>
    <t>CLM-000145</t>
  </si>
  <si>
    <t>PAT-00454</t>
  </si>
  <si>
    <t>2024-02-20</t>
  </si>
  <si>
    <t>CLM-000146</t>
  </si>
  <si>
    <t>2023-07-15</t>
  </si>
  <si>
    <t>CLM-000147</t>
  </si>
  <si>
    <t>2020-11-16</t>
  </si>
  <si>
    <t>CLM-000148</t>
  </si>
  <si>
    <t>PAT-00052</t>
  </si>
  <si>
    <t>2024-07-28</t>
  </si>
  <si>
    <t>CLM-000149</t>
  </si>
  <si>
    <t>PAT-00286</t>
  </si>
  <si>
    <t>2021-01-09</t>
  </si>
  <si>
    <t>CLM-000150</t>
  </si>
  <si>
    <t>PAT-00418</t>
  </si>
  <si>
    <t>CLM-000151</t>
  </si>
  <si>
    <t>PAT-00358</t>
  </si>
  <si>
    <t>2020-03-29</t>
  </si>
  <si>
    <t>CLM-000152</t>
  </si>
  <si>
    <t>PAT-00197</t>
  </si>
  <si>
    <t>2022-08-17</t>
  </si>
  <si>
    <t>CLM-000153</t>
  </si>
  <si>
    <t>PAT-00034</t>
  </si>
  <si>
    <t>2023-11-29</t>
  </si>
  <si>
    <t>CLM-000154</t>
  </si>
  <si>
    <t>PAT-00490</t>
  </si>
  <si>
    <t>CLM-000155</t>
  </si>
  <si>
    <t>PAT-00264</t>
  </si>
  <si>
    <t>2021-11-12</t>
  </si>
  <si>
    <t>CLM-000156</t>
  </si>
  <si>
    <t>PAT-00099</t>
  </si>
  <si>
    <t>2024-04-02</t>
  </si>
  <si>
    <t>CLM-000157</t>
  </si>
  <si>
    <t>PAT-00343</t>
  </si>
  <si>
    <t>2023-12-26</t>
  </si>
  <si>
    <t>CLM-000158</t>
  </si>
  <si>
    <t>PAT-00324</t>
  </si>
  <si>
    <t>2024-02-05</t>
  </si>
  <si>
    <t>CLM-000159</t>
  </si>
  <si>
    <t>PAT-00426</t>
  </si>
  <si>
    <t>2023-07-25</t>
  </si>
  <si>
    <t>CLM-000160</t>
  </si>
  <si>
    <t>PAT-00080</t>
  </si>
  <si>
    <t>CLM-000161</t>
  </si>
  <si>
    <t>PAT-00009</t>
  </si>
  <si>
    <t>2024-03-19</t>
  </si>
  <si>
    <t>CLM-000162</t>
  </si>
  <si>
    <t>2020-12-24</t>
  </si>
  <si>
    <t>CLM-000163</t>
  </si>
  <si>
    <t>PAT-00133</t>
  </si>
  <si>
    <t>2022-06-18</t>
  </si>
  <si>
    <t>CLM-000164</t>
  </si>
  <si>
    <t>PAT-00281</t>
  </si>
  <si>
    <t>2024-05-01</t>
  </si>
  <si>
    <t>CLM-000165</t>
  </si>
  <si>
    <t>2024-01-29</t>
  </si>
  <si>
    <t>CLM-000166</t>
  </si>
  <si>
    <t>PAT-00164</t>
  </si>
  <si>
    <t>2020-05-12</t>
  </si>
  <si>
    <t>CLM-000167</t>
  </si>
  <si>
    <t>2024-08-22</t>
  </si>
  <si>
    <t>CLM-000168</t>
  </si>
  <si>
    <t>PAT-00016</t>
  </si>
  <si>
    <t>CLM-000169</t>
  </si>
  <si>
    <t>2023-12-12</t>
  </si>
  <si>
    <t>CLM-000170</t>
  </si>
  <si>
    <t>PAT-00171</t>
  </si>
  <si>
    <t>2021-06-15</t>
  </si>
  <si>
    <t>CLM-000171</t>
  </si>
  <si>
    <t>PAT-00474</t>
  </si>
  <si>
    <t>2020-11-07</t>
  </si>
  <si>
    <t>CLM-000172</t>
  </si>
  <si>
    <t>2024-06-13</t>
  </si>
  <si>
    <t>CLM-000173</t>
  </si>
  <si>
    <t>PAT-00381</t>
  </si>
  <si>
    <t>2021-02-11</t>
  </si>
  <si>
    <t>CLM-000174</t>
  </si>
  <si>
    <t>PAT-00195</t>
  </si>
  <si>
    <t>2024-06-20</t>
  </si>
  <si>
    <t>CLM-000175</t>
  </si>
  <si>
    <t>2022-08-06</t>
  </si>
  <si>
    <t>CLM-000176</t>
  </si>
  <si>
    <t>PAT-00112</t>
  </si>
  <si>
    <t>2021-03-11</t>
  </si>
  <si>
    <t>CLM-000177</t>
  </si>
  <si>
    <t>PAT-00419</t>
  </si>
  <si>
    <t>2022-06-05</t>
  </si>
  <si>
    <t>CLM-000178</t>
  </si>
  <si>
    <t>PAT-00303</t>
  </si>
  <si>
    <t>CLM-000179</t>
  </si>
  <si>
    <t>PAT-00079</t>
  </si>
  <si>
    <t>2023-05-29</t>
  </si>
  <si>
    <t>CLM-000180</t>
  </si>
  <si>
    <t>PAT-00088</t>
  </si>
  <si>
    <t>2021-04-13</t>
  </si>
  <si>
    <t>CLM-000181</t>
  </si>
  <si>
    <t>PAT-00025</t>
  </si>
  <si>
    <t>2021-06-09</t>
  </si>
  <si>
    <t>CLM-000182</t>
  </si>
  <si>
    <t>PAT-00481</t>
  </si>
  <si>
    <t>2022-01-22</t>
  </si>
  <si>
    <t>CLM-000183</t>
  </si>
  <si>
    <t>PAT-00293</t>
  </si>
  <si>
    <t>2023-08-13</t>
  </si>
  <si>
    <t>CLM-000184</t>
  </si>
  <si>
    <t>2023-12-16</t>
  </si>
  <si>
    <t>CLM-000185</t>
  </si>
  <si>
    <t>PAT-00036</t>
  </si>
  <si>
    <t>2023-11-01</t>
  </si>
  <si>
    <t>CLM-000186</t>
  </si>
  <si>
    <t>PAT-00073</t>
  </si>
  <si>
    <t>2020-02-12</t>
  </si>
  <si>
    <t>CLM-000187</t>
  </si>
  <si>
    <t>PAT-00285</t>
  </si>
  <si>
    <t>2023-09-24</t>
  </si>
  <si>
    <t>CLM-000188</t>
  </si>
  <si>
    <t>PAT-00007</t>
  </si>
  <si>
    <t>2022-08-15</t>
  </si>
  <si>
    <t>CLM-000189</t>
  </si>
  <si>
    <t>PAT-00118</t>
  </si>
  <si>
    <t>2023-01-27</t>
  </si>
  <si>
    <t>CLM-000190</t>
  </si>
  <si>
    <t>PAT-00476</t>
  </si>
  <si>
    <t>2022-02-07</t>
  </si>
  <si>
    <t>CLM-000191</t>
  </si>
  <si>
    <t>2023-11-27</t>
  </si>
  <si>
    <t>CLM-000192</t>
  </si>
  <si>
    <t>2024-06-29</t>
  </si>
  <si>
    <t>CLM-000193</t>
  </si>
  <si>
    <t>2024-07-11</t>
  </si>
  <si>
    <t>CLM-000194</t>
  </si>
  <si>
    <t>PAT-00185</t>
  </si>
  <si>
    <t>CLM-000195</t>
  </si>
  <si>
    <t>2020-04-01</t>
  </si>
  <si>
    <t>CLM-000196</t>
  </si>
  <si>
    <t>PAT-00056</t>
  </si>
  <si>
    <t>2022-05-19</t>
  </si>
  <si>
    <t>CLM-000197</t>
  </si>
  <si>
    <t>PAT-00298</t>
  </si>
  <si>
    <t>2024-01-23</t>
  </si>
  <si>
    <t>CLM-000198</t>
  </si>
  <si>
    <t>CLM-000199</t>
  </si>
  <si>
    <t>PAT-00461</t>
  </si>
  <si>
    <t>2020-10-27</t>
  </si>
  <si>
    <t>CLM-000200</t>
  </si>
  <si>
    <t>PAT-00105</t>
  </si>
  <si>
    <t>2024-11-08</t>
  </si>
  <si>
    <t>CLM-000201</t>
  </si>
  <si>
    <t>2020-05-31</t>
  </si>
  <si>
    <t>CLM-000202</t>
  </si>
  <si>
    <t>2021-06-01</t>
  </si>
  <si>
    <t>CLM-000203</t>
  </si>
  <si>
    <t>PAT-00396</t>
  </si>
  <si>
    <t>2021-02-18</t>
  </si>
  <si>
    <t>CLM-000204</t>
  </si>
  <si>
    <t>2020-06-02</t>
  </si>
  <si>
    <t>CLM-000205</t>
  </si>
  <si>
    <t>2022-10-03</t>
  </si>
  <si>
    <t>CLM-000206</t>
  </si>
  <si>
    <t>PAT-00089</t>
  </si>
  <si>
    <t>2023-06-07</t>
  </si>
  <si>
    <t>CLM-000207</t>
  </si>
  <si>
    <t>2024-05-09</t>
  </si>
  <si>
    <t>CLM-000208</t>
  </si>
  <si>
    <t>PAT-00266</t>
  </si>
  <si>
    <t>2021-08-31</t>
  </si>
  <si>
    <t>CLM-000209</t>
  </si>
  <si>
    <t>2024-06-24</t>
  </si>
  <si>
    <t>CLM-000210</t>
  </si>
  <si>
    <t>2020-08-16</t>
  </si>
  <si>
    <t>CLM-000211</t>
  </si>
  <si>
    <t>PAT-00186</t>
  </si>
  <si>
    <t>2020-01-17</t>
  </si>
  <si>
    <t>CLM-000212</t>
  </si>
  <si>
    <t>PAT-00392</t>
  </si>
  <si>
    <t>CLM-000213</t>
  </si>
  <si>
    <t>2022-04-04</t>
  </si>
  <si>
    <t>CLM-000214</t>
  </si>
  <si>
    <t>2020-10-07</t>
  </si>
  <si>
    <t>CLM-000215</t>
  </si>
  <si>
    <t>PAT-00242</t>
  </si>
  <si>
    <t>2021-06-17</t>
  </si>
  <si>
    <t>CLM-000216</t>
  </si>
  <si>
    <t>CLM-000217</t>
  </si>
  <si>
    <t>PAT-00333</t>
  </si>
  <si>
    <t>2024-11-06</t>
  </si>
  <si>
    <t>CLM-000218</t>
  </si>
  <si>
    <t>PAT-00269</t>
  </si>
  <si>
    <t>CLM-000219</t>
  </si>
  <si>
    <t>PAT-00113</t>
  </si>
  <si>
    <t>2021-11-17</t>
  </si>
  <si>
    <t>CLM-000220</t>
  </si>
  <si>
    <t>PAT-00467</t>
  </si>
  <si>
    <t>2023-07-02</t>
  </si>
  <si>
    <t>CLM-000221</t>
  </si>
  <si>
    <t>2024-12-09</t>
  </si>
  <si>
    <t>CLM-000222</t>
  </si>
  <si>
    <t>PAT-00284</t>
  </si>
  <si>
    <t>2023-03-10</t>
  </si>
  <si>
    <t>CLM-000223</t>
  </si>
  <si>
    <t>PAT-00480</t>
  </si>
  <si>
    <t>2020-07-08</t>
  </si>
  <si>
    <t>CLM-000224</t>
  </si>
  <si>
    <t>PAT-00144</t>
  </si>
  <si>
    <t>2023-08-02</t>
  </si>
  <si>
    <t>CLM-000225</t>
  </si>
  <si>
    <t>PAT-00302</t>
  </si>
  <si>
    <t>2020-02-21</t>
  </si>
  <si>
    <t>CLM-000226</t>
  </si>
  <si>
    <t>PAT-00406</t>
  </si>
  <si>
    <t>2024-10-30</t>
  </si>
  <si>
    <t>CLM-000227</t>
  </si>
  <si>
    <t>PAT-00460</t>
  </si>
  <si>
    <t>2023-08-16</t>
  </si>
  <si>
    <t>CLM-000228</t>
  </si>
  <si>
    <t>PAT-00295</t>
  </si>
  <si>
    <t>2022-07-01</t>
  </si>
  <si>
    <t>CLM-000229</t>
  </si>
  <si>
    <t>PAT-00417</t>
  </si>
  <si>
    <t>CLM-000230</t>
  </si>
  <si>
    <t>PAT-00277</t>
  </si>
  <si>
    <t>2023-12-06</t>
  </si>
  <si>
    <t>CLM-000231</t>
  </si>
  <si>
    <t>PAT-00047</t>
  </si>
  <si>
    <t>2020-02-27</t>
  </si>
  <si>
    <t>CLM-000232</t>
  </si>
  <si>
    <t>PAT-00355</t>
  </si>
  <si>
    <t>2020-06-05</t>
  </si>
  <si>
    <t>CLM-000233</t>
  </si>
  <si>
    <t>PAT-00485</t>
  </si>
  <si>
    <t>2023-02-05</t>
  </si>
  <si>
    <t>CLM-000234</t>
  </si>
  <si>
    <t>PAT-00258</t>
  </si>
  <si>
    <t>2022-05-28</t>
  </si>
  <si>
    <t>CLM-000235</t>
  </si>
  <si>
    <t>PAT-00151</t>
  </si>
  <si>
    <t>2024-04-14</t>
  </si>
  <si>
    <t>CLM-000236</t>
  </si>
  <si>
    <t>PAT-00015</t>
  </si>
  <si>
    <t>CLM-000237</t>
  </si>
  <si>
    <t>PAT-00103</t>
  </si>
  <si>
    <t>CLM-000238</t>
  </si>
  <si>
    <t>PAT-00214</t>
  </si>
  <si>
    <t>2021-09-19</t>
  </si>
  <si>
    <t>CLM-000239</t>
  </si>
  <si>
    <t>2023-08-19</t>
  </si>
  <si>
    <t>CLM-000240</t>
  </si>
  <si>
    <t>2021-10-29</t>
  </si>
  <si>
    <t>CLM-000241</t>
  </si>
  <si>
    <t>2024-09-21</t>
  </si>
  <si>
    <t>CLM-000242</t>
  </si>
  <si>
    <t>PAT-00444</t>
  </si>
  <si>
    <t>2021-11-03</t>
  </si>
  <si>
    <t>CLM-000243</t>
  </si>
  <si>
    <t>2024-05-06</t>
  </si>
  <si>
    <t>CLM-000244</t>
  </si>
  <si>
    <t>PAT-00373</t>
  </si>
  <si>
    <t>2021-02-28</t>
  </si>
  <si>
    <t>CLM-000245</t>
  </si>
  <si>
    <t>PAT-00466</t>
  </si>
  <si>
    <t>CLM-000246</t>
  </si>
  <si>
    <t>PAT-00483</t>
  </si>
  <si>
    <t>2020-07-05</t>
  </si>
  <si>
    <t>CLM-000247</t>
  </si>
  <si>
    <t>2023-04-17</t>
  </si>
  <si>
    <t>CLM-000248</t>
  </si>
  <si>
    <t>PAT-00382</t>
  </si>
  <si>
    <t>2020-08-14</t>
  </si>
  <si>
    <t>CLM-000249</t>
  </si>
  <si>
    <t>PAT-00436</t>
  </si>
  <si>
    <t>2021-03-24</t>
  </si>
  <si>
    <t>CLM-000250</t>
  </si>
  <si>
    <t>2024-11-14</t>
  </si>
  <si>
    <t>CLM-000251</t>
  </si>
  <si>
    <t>PAT-00450</t>
  </si>
  <si>
    <t>2024-02-06</t>
  </si>
  <si>
    <t>CLM-000252</t>
  </si>
  <si>
    <t>2021-04-30</t>
  </si>
  <si>
    <t>CLM-000253</t>
  </si>
  <si>
    <t>2022-08-23</t>
  </si>
  <si>
    <t>CLM-000254</t>
  </si>
  <si>
    <t>2020-07-16</t>
  </si>
  <si>
    <t>CLM-000255</t>
  </si>
  <si>
    <t>PAT-00478</t>
  </si>
  <si>
    <t>2023-02-10</t>
  </si>
  <si>
    <t>CLM-000256</t>
  </si>
  <si>
    <t>2021-06-14</t>
  </si>
  <si>
    <t>CLM-000257</t>
  </si>
  <si>
    <t>PAT-00097</t>
  </si>
  <si>
    <t>CLM-000258</t>
  </si>
  <si>
    <t>PAT-00101</t>
  </si>
  <si>
    <t>CLM-000259</t>
  </si>
  <si>
    <t>2023-12-04</t>
  </si>
  <si>
    <t>CLM-000260</t>
  </si>
  <si>
    <t>CLM-000261</t>
  </si>
  <si>
    <t>2020-10-06</t>
  </si>
  <si>
    <t>CLM-000262</t>
  </si>
  <si>
    <t>PAT-00182</t>
  </si>
  <si>
    <t>2024-12-15</t>
  </si>
  <si>
    <t>CLM-000263</t>
  </si>
  <si>
    <t>PAT-00347</t>
  </si>
  <si>
    <t>2023-08-01</t>
  </si>
  <si>
    <t>CLM-000264</t>
  </si>
  <si>
    <t>PAT-00146</t>
  </si>
  <si>
    <t>2021-05-23</t>
  </si>
  <si>
    <t>CLM-000265</t>
  </si>
  <si>
    <t>PAT-00018</t>
  </si>
  <si>
    <t>2023-07-23</t>
  </si>
  <si>
    <t>CLM-000266</t>
  </si>
  <si>
    <t>PAT-00432</t>
  </si>
  <si>
    <t>2021-04-23</t>
  </si>
  <si>
    <t>CLM-000267</t>
  </si>
  <si>
    <t>2020-10-11</t>
  </si>
  <si>
    <t>CLM-000268</t>
  </si>
  <si>
    <t>2020-07-23</t>
  </si>
  <si>
    <t>CLM-000269</t>
  </si>
  <si>
    <t>PAT-00226</t>
  </si>
  <si>
    <t>2022-01-01</t>
  </si>
  <si>
    <t>CLM-000270</t>
  </si>
  <si>
    <t>2024-09-11</t>
  </si>
  <si>
    <t>CLM-000271</t>
  </si>
  <si>
    <t>2021-02-07</t>
  </si>
  <si>
    <t>CLM-000272</t>
  </si>
  <si>
    <t>2023-12-23</t>
  </si>
  <si>
    <t>CLM-000273</t>
  </si>
  <si>
    <t>PAT-00002</t>
  </si>
  <si>
    <t>2021-10-04</t>
  </si>
  <si>
    <t>CLM-000274</t>
  </si>
  <si>
    <t>2024-08-06</t>
  </si>
  <si>
    <t>CLM-000275</t>
  </si>
  <si>
    <t>2023-11-03</t>
  </si>
  <si>
    <t>CLM-000276</t>
  </si>
  <si>
    <t>PAT-00167</t>
  </si>
  <si>
    <t>CLM-000277</t>
  </si>
  <si>
    <t>PAT-00027</t>
  </si>
  <si>
    <t>2021-10-01</t>
  </si>
  <si>
    <t>CLM-000278</t>
  </si>
  <si>
    <t>PAT-00339</t>
  </si>
  <si>
    <t>2024-07-31</t>
  </si>
  <si>
    <t>CLM-000279</t>
  </si>
  <si>
    <t>PAT-00117</t>
  </si>
  <si>
    <t>2022-06-14</t>
  </si>
  <si>
    <t>CLM-000280</t>
  </si>
  <si>
    <t>2023-06-18</t>
  </si>
  <si>
    <t>CLM-000281</t>
  </si>
  <si>
    <t>2022-04-14</t>
  </si>
  <si>
    <t>CLM-000282</t>
  </si>
  <si>
    <t>2021-01-04</t>
  </si>
  <si>
    <t>CLM-000283</t>
  </si>
  <si>
    <t>PAT-00181</t>
  </si>
  <si>
    <t>2021-09-24</t>
  </si>
  <si>
    <t>CLM-000284</t>
  </si>
  <si>
    <t>PAT-00353</t>
  </si>
  <si>
    <t>2020-01-03</t>
  </si>
  <si>
    <t>CLM-000285</t>
  </si>
  <si>
    <t>PAT-00412</t>
  </si>
  <si>
    <t>CLM-000286</t>
  </si>
  <si>
    <t>PAT-00384</t>
  </si>
  <si>
    <t>2023-09-11</t>
  </si>
  <si>
    <t>CLM-000287</t>
  </si>
  <si>
    <t>PAT-00189</t>
  </si>
  <si>
    <t>CLM-000288</t>
  </si>
  <si>
    <t>PAT-00063</t>
  </si>
  <si>
    <t>2024-02-21</t>
  </si>
  <si>
    <t>CLM-000289</t>
  </si>
  <si>
    <t>2020-10-09</t>
  </si>
  <si>
    <t>CLM-000290</t>
  </si>
  <si>
    <t>PAT-00093</t>
  </si>
  <si>
    <t>2022-10-01</t>
  </si>
  <si>
    <t>CLM-000291</t>
  </si>
  <si>
    <t>PAT-00158</t>
  </si>
  <si>
    <t>2023-04-08</t>
  </si>
  <si>
    <t>CLM-000292</t>
  </si>
  <si>
    <t>PAT-00486</t>
  </si>
  <si>
    <t>2022-10-12</t>
  </si>
  <si>
    <t>CLM-000293</t>
  </si>
  <si>
    <t>2022-11-10</t>
  </si>
  <si>
    <t>CLM-000294</t>
  </si>
  <si>
    <t>2023-07-18</t>
  </si>
  <si>
    <t>CLM-000295</t>
  </si>
  <si>
    <t>2023-03-28</t>
  </si>
  <si>
    <t>CLM-000296</t>
  </si>
  <si>
    <t>2023-05-10</t>
  </si>
  <si>
    <t>CLM-000297</t>
  </si>
  <si>
    <t>2023-06-26</t>
  </si>
  <si>
    <t>CLM-000298</t>
  </si>
  <si>
    <t>PAT-00241</t>
  </si>
  <si>
    <t>CLM-000299</t>
  </si>
  <si>
    <t>PAT-00254</t>
  </si>
  <si>
    <t>2024-05-23</t>
  </si>
  <si>
    <t>CLM-000300</t>
  </si>
  <si>
    <t>PAT-00075</t>
  </si>
  <si>
    <t>2023-04-10</t>
  </si>
  <si>
    <t>CLM-000301</t>
  </si>
  <si>
    <t>2022-06-10</t>
  </si>
  <si>
    <t>CLM-000302</t>
  </si>
  <si>
    <t>2021-12-23</t>
  </si>
  <si>
    <t>CLM-000303</t>
  </si>
  <si>
    <t>CLM-000304</t>
  </si>
  <si>
    <t>PAT-00108</t>
  </si>
  <si>
    <t>CLM-000305</t>
  </si>
  <si>
    <t>PAT-00172</t>
  </si>
  <si>
    <t>CLM-000306</t>
  </si>
  <si>
    <t>2021-05-05</t>
  </si>
  <si>
    <t>CLM-000307</t>
  </si>
  <si>
    <t>2022-04-05</t>
  </si>
  <si>
    <t>CLM-000308</t>
  </si>
  <si>
    <t>2024-12-28</t>
  </si>
  <si>
    <t>CLM-000309</t>
  </si>
  <si>
    <t>2020-01-16</t>
  </si>
  <si>
    <t>CLM-000310</t>
  </si>
  <si>
    <t>PAT-00049</t>
  </si>
  <si>
    <t>2023-12-27</t>
  </si>
  <si>
    <t>CLM-000311</t>
  </si>
  <si>
    <t>PAT-00462</t>
  </si>
  <si>
    <t>CLM-000312</t>
  </si>
  <si>
    <t>2023-04-07</t>
  </si>
  <si>
    <t>CLM-000313</t>
  </si>
  <si>
    <t>PAT-00210</t>
  </si>
  <si>
    <t>2022-12-07</t>
  </si>
  <si>
    <t>CLM-000314</t>
  </si>
  <si>
    <t>PAT-00482</t>
  </si>
  <si>
    <t>CLM-000315</t>
  </si>
  <si>
    <t>2023-08-11</t>
  </si>
  <si>
    <t>CLM-000316</t>
  </si>
  <si>
    <t>PAT-00228</t>
  </si>
  <si>
    <t>CLM-000317</t>
  </si>
  <si>
    <t>2022-08-24</t>
  </si>
  <si>
    <t>CLM-000318</t>
  </si>
  <si>
    <t>2020-08-31</t>
  </si>
  <si>
    <t>CLM-000319</t>
  </si>
  <si>
    <t>2020-07-06</t>
  </si>
  <si>
    <t>CLM-000320</t>
  </si>
  <si>
    <t>PAT-00378</t>
  </si>
  <si>
    <t>2023-03-09</t>
  </si>
  <si>
    <t>CLM-000321</t>
  </si>
  <si>
    <t>2023-04-16</t>
  </si>
  <si>
    <t>CLM-000322</t>
  </si>
  <si>
    <t>PAT-00046</t>
  </si>
  <si>
    <t>CLM-000323</t>
  </si>
  <si>
    <t>PAT-00394</t>
  </si>
  <si>
    <t>2022-01-09</t>
  </si>
  <si>
    <t>CLM-000324</t>
  </si>
  <si>
    <t>PAT-00348</t>
  </si>
  <si>
    <t>2023-12-09</t>
  </si>
  <si>
    <t>CLM-000325</t>
  </si>
  <si>
    <t>PAT-00368</t>
  </si>
  <si>
    <t>2021-02-19</t>
  </si>
  <si>
    <t>CLM-000326</t>
  </si>
  <si>
    <t>2020-08-03</t>
  </si>
  <si>
    <t>CLM-000327</t>
  </si>
  <si>
    <t>2021-11-13</t>
  </si>
  <si>
    <t>CLM-000328</t>
  </si>
  <si>
    <t>PAT-00012</t>
  </si>
  <si>
    <t>CLM-000329</t>
  </si>
  <si>
    <t>2023-06-03</t>
  </si>
  <si>
    <t>CLM-000330</t>
  </si>
  <si>
    <t>PAT-00255</t>
  </si>
  <si>
    <t>2023-05-18</t>
  </si>
  <si>
    <t>CLM-000331</t>
  </si>
  <si>
    <t>PAT-00276</t>
  </si>
  <si>
    <t>2022-11-02</t>
  </si>
  <si>
    <t>CLM-000332</t>
  </si>
  <si>
    <t>PAT-00405</t>
  </si>
  <si>
    <t>2024-11-09</t>
  </si>
  <si>
    <t>CLM-000333</t>
  </si>
  <si>
    <t>2021-06-26</t>
  </si>
  <si>
    <t>CLM-000334</t>
  </si>
  <si>
    <t>2023-03-22</t>
  </si>
  <si>
    <t>CLM-000335</t>
  </si>
  <si>
    <t>PAT-00238</t>
  </si>
  <si>
    <t>CLM-000336</t>
  </si>
  <si>
    <t>PAT-00201</t>
  </si>
  <si>
    <t>CLM-000337</t>
  </si>
  <si>
    <t>CLM-000338</t>
  </si>
  <si>
    <t>2023-01-09</t>
  </si>
  <si>
    <t>CLM-000339</t>
  </si>
  <si>
    <t>PAT-00043</t>
  </si>
  <si>
    <t>CLM-000340</t>
  </si>
  <si>
    <t>2021-06-25</t>
  </si>
  <si>
    <t>CLM-000341</t>
  </si>
  <si>
    <t>PAT-00336</t>
  </si>
  <si>
    <t>CLM-000342</t>
  </si>
  <si>
    <t>2021-08-13</t>
  </si>
  <si>
    <t>CLM-000343</t>
  </si>
  <si>
    <t>PAT-00499</t>
  </si>
  <si>
    <t>2022-11-03</t>
  </si>
  <si>
    <t>CLM-000344</t>
  </si>
  <si>
    <t>2024-12-26</t>
  </si>
  <si>
    <t>CLM-000345</t>
  </si>
  <si>
    <t>PAT-00387</t>
  </si>
  <si>
    <t>2020-04-28</t>
  </si>
  <si>
    <t>CLM-000346</t>
  </si>
  <si>
    <t>PAT-00204</t>
  </si>
  <si>
    <t>2022-04-28</t>
  </si>
  <si>
    <t>CLM-000347</t>
  </si>
  <si>
    <t>PAT-00230</t>
  </si>
  <si>
    <t>2024-05-29</t>
  </si>
  <si>
    <t>CLM-000348</t>
  </si>
  <si>
    <t>PAT-00458</t>
  </si>
  <si>
    <t>2020-01-07</t>
  </si>
  <si>
    <t>CLM-000349</t>
  </si>
  <si>
    <t>PAT-00437</t>
  </si>
  <si>
    <t>2021-11-11</t>
  </si>
  <si>
    <t>CLM-000350</t>
  </si>
  <si>
    <t>PAT-00221</t>
  </si>
  <si>
    <t>2024-11-01</t>
  </si>
  <si>
    <t>CLM-000351</t>
  </si>
  <si>
    <t>2021-02-17</t>
  </si>
  <si>
    <t>CLM-000352</t>
  </si>
  <si>
    <t>2023-08-09</t>
  </si>
  <si>
    <t>CLM-000353</t>
  </si>
  <si>
    <t>2024-09-30</t>
  </si>
  <si>
    <t>CLM-000354</t>
  </si>
  <si>
    <t>PAT-00484</t>
  </si>
  <si>
    <t>2024-05-31</t>
  </si>
  <si>
    <t>CLM-000355</t>
  </si>
  <si>
    <t>2022-09-01</t>
  </si>
  <si>
    <t>CLM-000356</t>
  </si>
  <si>
    <t>2022-07-30</t>
  </si>
  <si>
    <t>CLM-000357</t>
  </si>
  <si>
    <t>2022-01-27</t>
  </si>
  <si>
    <t>CLM-000358</t>
  </si>
  <si>
    <t>PAT-00236</t>
  </si>
  <si>
    <t>2024-07-25</t>
  </si>
  <si>
    <t>CLM-000359</t>
  </si>
  <si>
    <t>2022-04-30</t>
  </si>
  <si>
    <t>CLM-000360</t>
  </si>
  <si>
    <t>PAT-00155</t>
  </si>
  <si>
    <t>2021-02-02</t>
  </si>
  <si>
    <t>CLM-000361</t>
  </si>
  <si>
    <t>PAT-00470</t>
  </si>
  <si>
    <t>2023-12-24</t>
  </si>
  <si>
    <t>CLM-000362</t>
  </si>
  <si>
    <t>CLM-000363</t>
  </si>
  <si>
    <t>PAT-00198</t>
  </si>
  <si>
    <t>2020-12-18</t>
  </si>
  <si>
    <t>CLM-000364</t>
  </si>
  <si>
    <t>2020-07-28</t>
  </si>
  <si>
    <t>CLM-000365</t>
  </si>
  <si>
    <t>PAT-00246</t>
  </si>
  <si>
    <t>2021-09-30</t>
  </si>
  <si>
    <t>CLM-000366</t>
  </si>
  <si>
    <t>2024-06-11</t>
  </si>
  <si>
    <t>CLM-000367</t>
  </si>
  <si>
    <t>PAT-00087</t>
  </si>
  <si>
    <t>2021-09-06</t>
  </si>
  <si>
    <t>CLM-000368</t>
  </si>
  <si>
    <t>2020-06-19</t>
  </si>
  <si>
    <t>CLM-000369</t>
  </si>
  <si>
    <t>PAT-00386</t>
  </si>
  <si>
    <t>2024-07-10</t>
  </si>
  <si>
    <t>CLM-000370</t>
  </si>
  <si>
    <t>PAT-00136</t>
  </si>
  <si>
    <t>2022-11-17</t>
  </si>
  <si>
    <t>CLM-000371</t>
  </si>
  <si>
    <t>2023-03-07</t>
  </si>
  <si>
    <t>CLM-000372</t>
  </si>
  <si>
    <t>2022-10-16</t>
  </si>
  <si>
    <t>CLM-000373</t>
  </si>
  <si>
    <t>PAT-00489</t>
  </si>
  <si>
    <t>2022-06-06</t>
  </si>
  <si>
    <t>CLM-000374</t>
  </si>
  <si>
    <t>PAT-00340</t>
  </si>
  <si>
    <t>2020-11-03</t>
  </si>
  <si>
    <t>CLM-000375</t>
  </si>
  <si>
    <t>2024-06-17</t>
  </si>
  <si>
    <t>CLM-000376</t>
  </si>
  <si>
    <t>PAT-00081</t>
  </si>
  <si>
    <t>2022-09-25</t>
  </si>
  <si>
    <t>CLM-000377</t>
  </si>
  <si>
    <t>PAT-00265</t>
  </si>
  <si>
    <t>CLM-000378</t>
  </si>
  <si>
    <t>PAT-00193</t>
  </si>
  <si>
    <t>2022-02-02</t>
  </si>
  <si>
    <t>CLM-000379</t>
  </si>
  <si>
    <t>PAT-00150</t>
  </si>
  <si>
    <t>2023-11-24</t>
  </si>
  <si>
    <t>CLM-000380</t>
  </si>
  <si>
    <t>CLM-000381</t>
  </si>
  <si>
    <t>2022-10-24</t>
  </si>
  <si>
    <t>CLM-000382</t>
  </si>
  <si>
    <t>PAT-00349</t>
  </si>
  <si>
    <t>2023-09-07</t>
  </si>
  <si>
    <t>CLM-000383</t>
  </si>
  <si>
    <t>2024-04-15</t>
  </si>
  <si>
    <t>CLM-000384</t>
  </si>
  <si>
    <t>CLM-000385</t>
  </si>
  <si>
    <t>PAT-00389</t>
  </si>
  <si>
    <t>2024-02-22</t>
  </si>
  <si>
    <t>CLM-000386</t>
  </si>
  <si>
    <t>2020-10-21</t>
  </si>
  <si>
    <t>CLM-000387</t>
  </si>
  <si>
    <t>2021-03-25</t>
  </si>
  <si>
    <t>CLM-000388</t>
  </si>
  <si>
    <t>PAT-00033</t>
  </si>
  <si>
    <t>2020-06-07</t>
  </si>
  <si>
    <t>CLM-000389</t>
  </si>
  <si>
    <t>PAT-00323</t>
  </si>
  <si>
    <t>2024-10-09</t>
  </si>
  <si>
    <t>CLM-000390</t>
  </si>
  <si>
    <t>PAT-00308</t>
  </si>
  <si>
    <t>CLM-000391</t>
  </si>
  <si>
    <t>2022-03-25</t>
  </si>
  <si>
    <t>CLM-000392</t>
  </si>
  <si>
    <t>2022-02-05</t>
  </si>
  <si>
    <t>CLM-000393</t>
  </si>
  <si>
    <t>PAT-00218</t>
  </si>
  <si>
    <t>2022-07-11</t>
  </si>
  <si>
    <t>CLM-000394</t>
  </si>
  <si>
    <t>2024-10-21</t>
  </si>
  <si>
    <t>CLM-000395</t>
  </si>
  <si>
    <t>PAT-00260</t>
  </si>
  <si>
    <t>CLM-000396</t>
  </si>
  <si>
    <t>2024-10-12</t>
  </si>
  <si>
    <t>CLM-000397</t>
  </si>
  <si>
    <t>2024-09-08</t>
  </si>
  <si>
    <t>CLM-000398</t>
  </si>
  <si>
    <t>PAT-00251</t>
  </si>
  <si>
    <t>2020-12-19</t>
  </si>
  <si>
    <t>CLM-000399</t>
  </si>
  <si>
    <t>PAT-00475</t>
  </si>
  <si>
    <t>2020-05-06</t>
  </si>
  <si>
    <t>CLM-000400</t>
  </si>
  <si>
    <t>PAT-00090</t>
  </si>
  <si>
    <t>2020-06-30</t>
  </si>
  <si>
    <t>CLM-000401</t>
  </si>
  <si>
    <t>2023-03-24</t>
  </si>
  <si>
    <t>CLM-000402</t>
  </si>
  <si>
    <t>2022-07-02</t>
  </si>
  <si>
    <t>CLM-000403</t>
  </si>
  <si>
    <t>2021-11-08</t>
  </si>
  <si>
    <t>CLM-000404</t>
  </si>
  <si>
    <t>2020-12-03</t>
  </si>
  <si>
    <t>CLM-000405</t>
  </si>
  <si>
    <t>2023-08-25</t>
  </si>
  <si>
    <t>CLM-000406</t>
  </si>
  <si>
    <t>PAT-00315</t>
  </si>
  <si>
    <t>2022-04-10</t>
  </si>
  <si>
    <t>CLM-000407</t>
  </si>
  <si>
    <t>2020-07-27</t>
  </si>
  <si>
    <t>CLM-000408</t>
  </si>
  <si>
    <t>2020-08-12</t>
  </si>
  <si>
    <t>CLM-000409</t>
  </si>
  <si>
    <t>2021-09-15</t>
  </si>
  <si>
    <t>CLM-000410</t>
  </si>
  <si>
    <t>2022-03-23</t>
  </si>
  <si>
    <t>CLM-000411</t>
  </si>
  <si>
    <t>CLM-000412</t>
  </si>
  <si>
    <t>PAT-00111</t>
  </si>
  <si>
    <t>2020-08-04</t>
  </si>
  <si>
    <t>CLM-000413</t>
  </si>
  <si>
    <t>PAT-00120</t>
  </si>
  <si>
    <t>2020-09-13</t>
  </si>
  <si>
    <t>CLM-000414</t>
  </si>
  <si>
    <t>2024-12-10</t>
  </si>
  <si>
    <t>CLM-000415</t>
  </si>
  <si>
    <t>2021-01-08</t>
  </si>
  <si>
    <t>CLM-000416</t>
  </si>
  <si>
    <t>PAT-00145</t>
  </si>
  <si>
    <t>CLM-000417</t>
  </si>
  <si>
    <t>2020-02-17</t>
  </si>
  <si>
    <t>CLM-000418</t>
  </si>
  <si>
    <t>PAT-00131</t>
  </si>
  <si>
    <t>2020-10-02</t>
  </si>
  <si>
    <t>CLM-000419</t>
  </si>
  <si>
    <t>PAT-00119</t>
  </si>
  <si>
    <t>CLM-000420</t>
  </si>
  <si>
    <t>2020-10-14</t>
  </si>
  <si>
    <t>CLM-000421</t>
  </si>
  <si>
    <t>2020-06-04</t>
  </si>
  <si>
    <t>CLM-000422</t>
  </si>
  <si>
    <t>2021-10-18</t>
  </si>
  <si>
    <t>CLM-000423</t>
  </si>
  <si>
    <t>2020-01-01</t>
  </si>
  <si>
    <t>CLM-000424</t>
  </si>
  <si>
    <t>CLM-000425</t>
  </si>
  <si>
    <t>2022-09-13</t>
  </si>
  <si>
    <t>CLM-000426</t>
  </si>
  <si>
    <t>2022-03-26</t>
  </si>
  <si>
    <t>CLM-000427</t>
  </si>
  <si>
    <t>2023-03-21</t>
  </si>
  <si>
    <t>CLM-000428</t>
  </si>
  <si>
    <t>2022-01-24</t>
  </si>
  <si>
    <t>CLM-000429</t>
  </si>
  <si>
    <t>2022-05-13</t>
  </si>
  <si>
    <t>CLM-000430</t>
  </si>
  <si>
    <t>2023-10-08</t>
  </si>
  <si>
    <t>CLM-000431</t>
  </si>
  <si>
    <t>2022-05-31</t>
  </si>
  <si>
    <t>CLM-000432</t>
  </si>
  <si>
    <t>2023-07-13</t>
  </si>
  <si>
    <t>CLM-000433</t>
  </si>
  <si>
    <t>PAT-00045</t>
  </si>
  <si>
    <t>2020-12-23</t>
  </si>
  <si>
    <t>CLM-000434</t>
  </si>
  <si>
    <t>2024-07-16</t>
  </si>
  <si>
    <t>CLM-000435</t>
  </si>
  <si>
    <t>PAT-00448</t>
  </si>
  <si>
    <t>2023-05-17</t>
  </si>
  <si>
    <t>CLM-000436</t>
  </si>
  <si>
    <t>PAT-00256</t>
  </si>
  <si>
    <t>CLM-000437</t>
  </si>
  <si>
    <t>PAT-00067</t>
  </si>
  <si>
    <t>CLM-000438</t>
  </si>
  <si>
    <t>2021-05-24</t>
  </si>
  <si>
    <t>CLM-000439</t>
  </si>
  <si>
    <t>PAT-00247</t>
  </si>
  <si>
    <t>2022-12-16</t>
  </si>
  <si>
    <t>CLM-000440</t>
  </si>
  <si>
    <t>PAT-00196</t>
  </si>
  <si>
    <t>2021-02-20</t>
  </si>
  <si>
    <t>CLM-000441</t>
  </si>
  <si>
    <t>PAT-00440</t>
  </si>
  <si>
    <t>2020-02-03</t>
  </si>
  <si>
    <t>CLM-000442</t>
  </si>
  <si>
    <t>PAT-00267</t>
  </si>
  <si>
    <t>CLM-000443</t>
  </si>
  <si>
    <t>2023-03-16</t>
  </si>
  <si>
    <t>CLM-000444</t>
  </si>
  <si>
    <t>CLM-000445</t>
  </si>
  <si>
    <t>PAT-00395</t>
  </si>
  <si>
    <t>2021-08-18</t>
  </si>
  <si>
    <t>CLM-000446</t>
  </si>
  <si>
    <t>PAT-00035</t>
  </si>
  <si>
    <t>CLM-000447</t>
  </si>
  <si>
    <t>2020-11-23</t>
  </si>
  <si>
    <t>CLM-000448</t>
  </si>
  <si>
    <t>PAT-00078</t>
  </si>
  <si>
    <t>2024-11-15</t>
  </si>
  <si>
    <t>CLM-000449</t>
  </si>
  <si>
    <t>2020-07-22</t>
  </si>
  <si>
    <t>CLM-000450</t>
  </si>
  <si>
    <t>PAT-00192</t>
  </si>
  <si>
    <t>2022-03-16</t>
  </si>
  <si>
    <t>CLM-000451</t>
  </si>
  <si>
    <t>2023-02-16</t>
  </si>
  <si>
    <t>CLM-000452</t>
  </si>
  <si>
    <t>PAT-00029</t>
  </si>
  <si>
    <t>2024-05-13</t>
  </si>
  <si>
    <t>CLM-000453</t>
  </si>
  <si>
    <t>2022-06-17</t>
  </si>
  <si>
    <t>CLM-000454</t>
  </si>
  <si>
    <t>2022-01-10</t>
  </si>
  <si>
    <t>CLM-000455</t>
  </si>
  <si>
    <t>2020-11-19</t>
  </si>
  <si>
    <t>CLM-000456</t>
  </si>
  <si>
    <t>2022-07-08</t>
  </si>
  <si>
    <t>CLM-000457</t>
  </si>
  <si>
    <t>2023-07-21</t>
  </si>
  <si>
    <t>CLM-000458</t>
  </si>
  <si>
    <t>CLM-000459</t>
  </si>
  <si>
    <t>CLM-000460</t>
  </si>
  <si>
    <t>PAT-00471</t>
  </si>
  <si>
    <t>2024-03-26</t>
  </si>
  <si>
    <t>CLM-000461</t>
  </si>
  <si>
    <t>PAT-00424</t>
  </si>
  <si>
    <t>2020-04-04</t>
  </si>
  <si>
    <t>CLM-000462</t>
  </si>
  <si>
    <t>2020-01-15</t>
  </si>
  <si>
    <t>CLM-000463</t>
  </si>
  <si>
    <t>PAT-00179</t>
  </si>
  <si>
    <t>2024-11-25</t>
  </si>
  <si>
    <t>CLM-000464</t>
  </si>
  <si>
    <t>2020-04-27</t>
  </si>
  <si>
    <t>CLM-000465</t>
  </si>
  <si>
    <t>PAT-00435</t>
  </si>
  <si>
    <t>2020-10-19</t>
  </si>
  <si>
    <t>CLM-000466</t>
  </si>
  <si>
    <t>2023-07-19</t>
  </si>
  <si>
    <t>CLM-000467</t>
  </si>
  <si>
    <t>PAT-00129</t>
  </si>
  <si>
    <t>2024-03-11</t>
  </si>
  <si>
    <t>CLM-000468</t>
  </si>
  <si>
    <t>PAT-00077</t>
  </si>
  <si>
    <t>CLM-000469</t>
  </si>
  <si>
    <t>PAT-00209</t>
  </si>
  <si>
    <t>2022-12-04</t>
  </si>
  <si>
    <t>CLM-000470</t>
  </si>
  <si>
    <t>PAT-00070</t>
  </si>
  <si>
    <t>CLM-000471</t>
  </si>
  <si>
    <t>2021-09-22</t>
  </si>
  <si>
    <t>CLM-000472</t>
  </si>
  <si>
    <t>2021-10-19</t>
  </si>
  <si>
    <t>CLM-000473</t>
  </si>
  <si>
    <t>2023-08-29</t>
  </si>
  <si>
    <t>CLM-000474</t>
  </si>
  <si>
    <t>CLM-000475</t>
  </si>
  <si>
    <t>PAT-00310</t>
  </si>
  <si>
    <t>2024-10-04</t>
  </si>
  <si>
    <t>CLM-000476</t>
  </si>
  <si>
    <t>PAT-00289</t>
  </si>
  <si>
    <t>2022-10-13</t>
  </si>
  <si>
    <t>CLM-000477</t>
  </si>
  <si>
    <t>2021-01-24</t>
  </si>
  <si>
    <t>CLM-000478</t>
  </si>
  <si>
    <t>PAT-00168</t>
  </si>
  <si>
    <t>CLM-000479</t>
  </si>
  <si>
    <t>CLM-000480</t>
  </si>
  <si>
    <t>PAT-00050</t>
  </si>
  <si>
    <t>CLM-000481</t>
  </si>
  <si>
    <t>2021-07-07</t>
  </si>
  <si>
    <t>CLM-000482</t>
  </si>
  <si>
    <t>2020-05-16</t>
  </si>
  <si>
    <t>CLM-000483</t>
  </si>
  <si>
    <t>2023-01-01</t>
  </si>
  <si>
    <t>CLM-000484</t>
  </si>
  <si>
    <t>2023-06-11</t>
  </si>
  <si>
    <t>CLM-000485</t>
  </si>
  <si>
    <t>CLM-000486</t>
  </si>
  <si>
    <t>2021-03-20</t>
  </si>
  <si>
    <t>CLM-000487</t>
  </si>
  <si>
    <t>PAT-00104</t>
  </si>
  <si>
    <t>2021-04-27</t>
  </si>
  <si>
    <t>CLM-000488</t>
  </si>
  <si>
    <t>CLM-000489</t>
  </si>
  <si>
    <t>PAT-00240</t>
  </si>
  <si>
    <t>2023-02-04</t>
  </si>
  <si>
    <t>CLM-000490</t>
  </si>
  <si>
    <t>CLM-000491</t>
  </si>
  <si>
    <t>2024-07-06</t>
  </si>
  <si>
    <t>CLM-000492</t>
  </si>
  <si>
    <t>2024-03-20</t>
  </si>
  <si>
    <t>CLM-000493</t>
  </si>
  <si>
    <t>CLM-000494</t>
  </si>
  <si>
    <t>2022-02-09</t>
  </si>
  <si>
    <t>CLM-000495</t>
  </si>
  <si>
    <t>PAT-00428</t>
  </si>
  <si>
    <t>2020-06-29</t>
  </si>
  <si>
    <t>CLM-000496</t>
  </si>
  <si>
    <t>2020-03-14</t>
  </si>
  <si>
    <t>CLM-000497</t>
  </si>
  <si>
    <t>2020-03-12</t>
  </si>
  <si>
    <t>CLM-000498</t>
  </si>
  <si>
    <t>2022-06-03</t>
  </si>
  <si>
    <t>CLM-000499</t>
  </si>
  <si>
    <t>2023-06-06</t>
  </si>
  <si>
    <t>CLM-000500</t>
  </si>
  <si>
    <t>2021-11-29</t>
  </si>
  <si>
    <t>Note: Showing first 500 rows. Full dataset has 2,025 records.</t>
  </si>
  <si>
    <t>Avg Claim</t>
  </si>
  <si>
    <t>Reason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</si>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</sst>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;\(#,##0\)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1F4E79"/>
      <name val="Arial"/>
      <family val="2"/>
    </font>
    <font>
      <b/>
      <sz val="9"/>
      <color rgb="FFFFFFFF"/>
      <name val="Arial"/>
      <family val="2"/>
    </font>
    <font>
      <b/>
      <sz val="13"/>
      <color rgb="FF1F4E79"/>
      <name val="Arial"/>
      <family val="2"/>
    </font>
    <font>
      <b/>
      <sz val="13"/>
      <color rgb="FF375623"/>
      <name val="Arial"/>
      <family val="2"/>
    </font>
    <font>
      <b/>
      <sz val="13"/>
      <color rgb="FF974706"/>
      <name val="Arial"/>
      <family val="2"/>
    </font>
    <font>
      <b/>
      <sz val="13"/>
      <color rgb="FF7B5900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sz val="10"/>
      <color rgb="FF375623"/>
      <name val="Arial"/>
      <family val="2"/>
    </font>
    <font>
      <b/>
      <sz val="10"/>
      <color rgb="FF7B5900"/>
      <name val="Arial"/>
      <family val="2"/>
    </font>
    <font>
      <sz val="10"/>
      <color rgb="FF7B5900"/>
      <name val="Arial"/>
      <family val="2"/>
    </font>
    <font>
      <b/>
      <sz val="10"/>
      <color rgb="FF974706"/>
      <name val="Arial"/>
      <family val="2"/>
    </font>
    <font>
      <sz val="10"/>
      <color rgb="FF974706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9"/>
      <name val="Arial"/>
      <family val="2"/>
    </font>
    <font>
      <i/>
      <sz val="9"/>
      <color rgb="FF88888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E6CC"/>
        <bgColor rgb="FFFFF2CC"/>
      </patternFill>
    </fill>
    <fill>
      <patternFill patternType="solid">
        <fgColor rgb="FFFFF2CC"/>
        <bgColor rgb="FFFFE6CC"/>
      </patternFill>
    </fill>
    <fill>
      <patternFill patternType="solid">
        <fgColor rgb="FFF2F2F2"/>
        <bgColor rgb="FFFDECEA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DECE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9" fontId="12" fillId="7" borderId="1" xfId="0" applyNumberFormat="1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3" fontId="17" fillId="8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3" fontId="17" fillId="9" borderId="1" xfId="0" applyNumberFormat="1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3" fontId="19" fillId="11" borderId="1" xfId="0" applyNumberFormat="1" applyFont="1" applyFill="1" applyBorder="1" applyAlignment="1">
      <alignment horizontal="center" vertical="center"/>
    </xf>
    <xf numFmtId="164" fontId="19" fillId="11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4" fontId="20" fillId="8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4" fontId="20" fillId="9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EB3622-AAA0-4903-A488-D8E3E9EEB0C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B5900"/>
      <rgbColor rgb="FF800080"/>
      <rgbColor rgb="FF008080"/>
      <rgbColor rgb="FFBFBFBF"/>
      <rgbColor rgb="FF878787"/>
      <rgbColor rgb="FF9999FF"/>
      <rgbColor rgb="FF7030A0"/>
      <rgbColor rgb="FFFFF2CC"/>
      <rgbColor rgb="FFD6E4F0"/>
      <rgbColor rgb="FF660066"/>
      <rgbColor rgb="FFD85A3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E8D4"/>
      <rgbColor rgb="FFFFE6CC"/>
      <rgbColor rgb="FF99CCFF"/>
      <rgbColor rgb="FFFF99CC"/>
      <rgbColor rgb="FFCC99FF"/>
      <rgbColor rgb="FFFDECEA"/>
      <rgbColor rgb="FF4472C4"/>
      <rgbColor rgb="FF33CCCC"/>
      <rgbColor rgb="FF70AD47"/>
      <rgbColor rgb="FFFFCC00"/>
      <rgbColor rgb="FFEF9F27"/>
      <rgbColor rgb="FFED7D31"/>
      <rgbColor rgb="FF4F81BD"/>
      <rgbColor rgb="FF888888"/>
      <rgbColor rgb="FF003366"/>
      <rgbColor rgb="FF1D9E75"/>
      <rgbColor rgb="FF003300"/>
      <rgbColor rgb="FF333300"/>
      <rgbColor rgb="FF974706"/>
      <rgbColor rgb="FFE24B4A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Claims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_chart_data!$B$1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D5C-4A0E-9993-F2C7698EAB1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D5C-4A0E-9993-F2C7698EAB1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D5C-4A0E-9993-F2C7698EAB1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5C-4A0E-9993-F2C7698EAB1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5C-4A0E-9993-F2C7698EAB1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5C-4A0E-9993-F2C7698EAB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_chart_data!$A$2:$A$4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Denied</c:v>
                </c:pt>
              </c:strCache>
            </c:strRef>
          </c:cat>
          <c:val>
            <c:numRef>
              <c:f>_chart_data!$B$2:$B$4</c:f>
              <c:numCache>
                <c:formatCode>General</c:formatCode>
                <c:ptCount val="3"/>
                <c:pt idx="0">
                  <c:v>1212</c:v>
                </c:pt>
                <c:pt idx="1">
                  <c:v>435</c:v>
                </c:pt>
                <c:pt idx="2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5C-4A0E-9993-F2C7698EA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Claims by Insurer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_chart_data!$E$1</c:f>
              <c:strCache>
                <c:ptCount val="1"/>
                <c:pt idx="0">
                  <c:v>Claims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_chart_data!$D$2:$D$6</c:f>
              <c:strCache>
                <c:ptCount val="5"/>
                <c:pt idx="0">
                  <c:v>Aetna</c:v>
                </c:pt>
                <c:pt idx="1">
                  <c:v>Unitedhealth</c:v>
                </c:pt>
                <c:pt idx="2">
                  <c:v>Humana</c:v>
                </c:pt>
                <c:pt idx="3">
                  <c:v>Bluecross</c:v>
                </c:pt>
                <c:pt idx="4">
                  <c:v>Cigna</c:v>
                </c:pt>
              </c:strCache>
            </c:strRef>
          </c:cat>
          <c:val>
            <c:numRef>
              <c:f>_chart_data!$E$2:$E$6</c:f>
              <c:numCache>
                <c:formatCode>General</c:formatCode>
                <c:ptCount val="5"/>
                <c:pt idx="0">
                  <c:v>427</c:v>
                </c:pt>
                <c:pt idx="1">
                  <c:v>415</c:v>
                </c:pt>
                <c:pt idx="2">
                  <c:v>411</c:v>
                </c:pt>
                <c:pt idx="3">
                  <c:v>389</c:v>
                </c:pt>
                <c:pt idx="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F-44C3-9558-36CFEE19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8806"/>
        <c:axId val="75688884"/>
      </c:barChart>
      <c:catAx>
        <c:axId val="22068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88884"/>
        <c:crosses val="autoZero"/>
        <c:auto val="1"/>
        <c:lblAlgn val="ctr"/>
        <c:lblOffset val="100"/>
        <c:noMultiLvlLbl val="0"/>
      </c:catAx>
      <c:valAx>
        <c:axId val="75688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Claims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688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Claim by Procedure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_chart_data!$H$1</c:f>
              <c:strCache>
                <c:ptCount val="1"/>
                <c:pt idx="0">
                  <c:v>Avg Claim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_chart_data!$G$2:$G$9</c:f>
              <c:strCache>
                <c:ptCount val="8"/>
                <c:pt idx="0">
                  <c:v>Hip Replacement</c:v>
                </c:pt>
                <c:pt idx="1">
                  <c:v>MRI Scan</c:v>
                </c:pt>
                <c:pt idx="2">
                  <c:v>Appendectomy</c:v>
                </c:pt>
                <c:pt idx="3">
                  <c:v>Dialysis</c:v>
                </c:pt>
                <c:pt idx="4">
                  <c:v>Bypass Surgery</c:v>
                </c:pt>
                <c:pt idx="5">
                  <c:v>Knee Surgery</c:v>
                </c:pt>
                <c:pt idx="6">
                  <c:v>Cataract</c:v>
                </c:pt>
                <c:pt idx="7">
                  <c:v>Chemotherapy</c:v>
                </c:pt>
              </c:strCache>
            </c:strRef>
          </c:cat>
          <c:val>
            <c:numRef>
              <c:f>_chart_data!$H$2:$H$9</c:f>
              <c:numCache>
                <c:formatCode>General</c:formatCode>
                <c:ptCount val="8"/>
                <c:pt idx="0">
                  <c:v>62063</c:v>
                </c:pt>
                <c:pt idx="1">
                  <c:v>59732</c:v>
                </c:pt>
                <c:pt idx="2">
                  <c:v>63654</c:v>
                </c:pt>
                <c:pt idx="3">
                  <c:v>60857</c:v>
                </c:pt>
                <c:pt idx="4">
                  <c:v>58934</c:v>
                </c:pt>
                <c:pt idx="5">
                  <c:v>54912</c:v>
                </c:pt>
                <c:pt idx="6">
                  <c:v>64233</c:v>
                </c:pt>
                <c:pt idx="7">
                  <c:v>60613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4-4D56-8BFF-E410C68D3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2041"/>
        <c:axId val="10676143"/>
      </c:barChart>
      <c:catAx>
        <c:axId val="87520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Claim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76143"/>
        <c:crosses val="autoZero"/>
        <c:auto val="1"/>
        <c:lblAlgn val="ctr"/>
        <c:lblOffset val="100"/>
        <c:noMultiLvlLbl val="0"/>
      </c:catAx>
      <c:valAx>
        <c:axId val="106761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Procedure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2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Claims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_chart_data!$K$1</c:f>
              <c:strCache>
                <c:ptCount val="1"/>
                <c:pt idx="0">
                  <c:v>Claims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_chart_data!$J$2:$J$6</c:f>
              <c:strCache>
                <c:ptCount val="5"/>
                <c:pt idx="0">
                  <c:v>Southwest</c:v>
                </c:pt>
                <c:pt idx="1">
                  <c:v>Northeast</c:v>
                </c:pt>
                <c:pt idx="2">
                  <c:v>Midwest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_chart_data!$K$2:$K$6</c:f>
              <c:numCache>
                <c:formatCode>General</c:formatCode>
                <c:ptCount val="5"/>
                <c:pt idx="0">
                  <c:v>419</c:v>
                </c:pt>
                <c:pt idx="1">
                  <c:v>413</c:v>
                </c:pt>
                <c:pt idx="2">
                  <c:v>409</c:v>
                </c:pt>
                <c:pt idx="3">
                  <c:v>397</c:v>
                </c:pt>
                <c:pt idx="4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9-4007-B84F-E98BE9320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26993"/>
        <c:axId val="8618125"/>
      </c:barChart>
      <c:catAx>
        <c:axId val="22426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8125"/>
        <c:crosses val="autoZero"/>
        <c:auto val="1"/>
        <c:lblAlgn val="ctr"/>
        <c:lblOffset val="100"/>
        <c:noMultiLvlLbl val="0"/>
      </c:catAx>
      <c:valAx>
        <c:axId val="8618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26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Claims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_chart_data!$N$1</c:f>
              <c:strCache>
                <c:ptCount val="1"/>
                <c:pt idx="0">
                  <c:v>Claims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_chart_data!$M$2:$M$8</c:f>
              <c:strCache>
                <c:ptCount val="6"/>
                <c:pt idx="0">
                  <c:v>&lt;18</c:v>
                </c:pt>
                <c:pt idx="1">
                  <c:v>18-30</c:v>
                </c:pt>
                <c:pt idx="2">
                  <c:v>31-45</c:v>
                </c:pt>
                <c:pt idx="3">
                  <c:v>46-60</c:v>
                </c:pt>
                <c:pt idx="4">
                  <c:v>61-75</c:v>
                </c:pt>
                <c:pt idx="5">
                  <c:v>75+</c:v>
                </c:pt>
              </c:strCache>
            </c:strRef>
          </c:cat>
          <c:val>
            <c:numRef>
              <c:f>_chart_data!$N$2:$N$8</c:f>
              <c:numCache>
                <c:formatCode>General</c:formatCode>
                <c:ptCount val="7"/>
                <c:pt idx="0">
                  <c:v>29</c:v>
                </c:pt>
                <c:pt idx="1">
                  <c:v>351</c:v>
                </c:pt>
                <c:pt idx="2">
                  <c:v>457</c:v>
                </c:pt>
                <c:pt idx="3">
                  <c:v>480</c:v>
                </c:pt>
                <c:pt idx="4">
                  <c:v>440</c:v>
                </c:pt>
                <c:pt idx="5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FD8-9BD1-0B2B84B4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98364"/>
        <c:axId val="66414315"/>
      </c:barChart>
      <c:catAx>
        <c:axId val="95798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14315"/>
        <c:crosses val="autoZero"/>
        <c:auto val="1"/>
        <c:lblAlgn val="ctr"/>
        <c:lblOffset val="100"/>
        <c:noMultiLvlLbl val="0"/>
      </c:catAx>
      <c:valAx>
        <c:axId val="66414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983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Denial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_chart_data!$Q$1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24B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FCE-4E2D-BE1E-4D821625392A}"/>
              </c:ext>
            </c:extLst>
          </c:dPt>
          <c:dPt>
            <c:idx val="1"/>
            <c:bubble3D val="0"/>
            <c:spPr>
              <a:solidFill>
                <a:srgbClr val="EF9F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FCE-4E2D-BE1E-4D821625392A}"/>
              </c:ext>
            </c:extLst>
          </c:dPt>
          <c:dPt>
            <c:idx val="2"/>
            <c:bubble3D val="0"/>
            <c:spPr>
              <a:solidFill>
                <a:srgbClr val="D85A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FCE-4E2D-BE1E-4D821625392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CE-4E2D-BE1E-4D821625392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CE-4E2D-BE1E-4D821625392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CE-4E2D-BE1E-4D82162539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_chart_data!$P$2:$P$4</c:f>
              <c:strCache>
                <c:ptCount val="3"/>
                <c:pt idx="0">
                  <c:v>Missing docs</c:v>
                </c:pt>
                <c:pt idx="1">
                  <c:v>Pre-existing</c:v>
                </c:pt>
                <c:pt idx="2">
                  <c:v>Out-of-network</c:v>
                </c:pt>
              </c:strCache>
            </c:strRef>
          </c:cat>
          <c:val>
            <c:numRef>
              <c:f>_chart_data!$Q$2:$Q$4</c:f>
              <c:numCache>
                <c:formatCode>General</c:formatCode>
                <c:ptCount val="3"/>
                <c:pt idx="0">
                  <c:v>252</c:v>
                </c:pt>
                <c:pt idx="1">
                  <c:v>238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E-4E2D-BE1E-4D8216253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Claim Count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Trend'!$B$4</c:f>
              <c:strCache>
                <c:ptCount val="1"/>
                <c:pt idx="0">
                  <c:v>Claim Count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Trend'!$A$5:$A$22</c:f>
              <c:strCache>
                <c:ptCount val="18"/>
                <c:pt idx="0">
                  <c:v>2023-07</c:v>
                </c:pt>
                <c:pt idx="1">
                  <c:v>2023-08</c:v>
                </c:pt>
                <c:pt idx="2">
                  <c:v>2023-09</c:v>
                </c:pt>
                <c:pt idx="3">
                  <c:v>2023-10</c:v>
                </c:pt>
                <c:pt idx="4">
                  <c:v>2023-11</c:v>
                </c:pt>
                <c:pt idx="5">
                  <c:v>2023-12</c:v>
                </c:pt>
                <c:pt idx="6">
                  <c:v>2024-01</c:v>
                </c:pt>
                <c:pt idx="7">
                  <c:v>2024-02</c:v>
                </c:pt>
                <c:pt idx="8">
                  <c:v>2024-03</c:v>
                </c:pt>
                <c:pt idx="9">
                  <c:v>2024-04</c:v>
                </c:pt>
                <c:pt idx="10">
                  <c:v>2024-05</c:v>
                </c:pt>
                <c:pt idx="11">
                  <c:v>2024-06</c:v>
                </c:pt>
                <c:pt idx="12">
                  <c:v>2024-07</c:v>
                </c:pt>
                <c:pt idx="13">
                  <c:v>2024-08</c:v>
                </c:pt>
                <c:pt idx="14">
                  <c:v>2024-09</c:v>
                </c:pt>
                <c:pt idx="15">
                  <c:v>2024-10</c:v>
                </c:pt>
                <c:pt idx="16">
                  <c:v>2024-11</c:v>
                </c:pt>
                <c:pt idx="17">
                  <c:v>2024-12</c:v>
                </c:pt>
              </c:strCache>
            </c:strRef>
          </c:cat>
          <c:val>
            <c:numRef>
              <c:f>'Monthly Trend'!$B$5:$B$22</c:f>
              <c:numCache>
                <c:formatCode>#,##0</c:formatCode>
                <c:ptCount val="18"/>
                <c:pt idx="0">
                  <c:v>32</c:v>
                </c:pt>
                <c:pt idx="1">
                  <c:v>32</c:v>
                </c:pt>
                <c:pt idx="2">
                  <c:v>29</c:v>
                </c:pt>
                <c:pt idx="3">
                  <c:v>31</c:v>
                </c:pt>
                <c:pt idx="4">
                  <c:v>34</c:v>
                </c:pt>
                <c:pt idx="5">
                  <c:v>28</c:v>
                </c:pt>
                <c:pt idx="6">
                  <c:v>32</c:v>
                </c:pt>
                <c:pt idx="7">
                  <c:v>28</c:v>
                </c:pt>
                <c:pt idx="8">
                  <c:v>27</c:v>
                </c:pt>
                <c:pt idx="9">
                  <c:v>31</c:v>
                </c:pt>
                <c:pt idx="10">
                  <c:v>30</c:v>
                </c:pt>
                <c:pt idx="11">
                  <c:v>35</c:v>
                </c:pt>
                <c:pt idx="12">
                  <c:v>31</c:v>
                </c:pt>
                <c:pt idx="13">
                  <c:v>30</c:v>
                </c:pt>
                <c:pt idx="14">
                  <c:v>26</c:v>
                </c:pt>
                <c:pt idx="15">
                  <c:v>31</c:v>
                </c:pt>
                <c:pt idx="16">
                  <c:v>37</c:v>
                </c:pt>
                <c:pt idx="17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4C-403A-B51C-8C8B93E0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958462"/>
        <c:axId val="4762379"/>
      </c:lineChart>
      <c:catAx>
        <c:axId val="24958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2379"/>
        <c:crosses val="autoZero"/>
        <c:auto val="1"/>
        <c:lblAlgn val="ctr"/>
        <c:lblOffset val="100"/>
        <c:noMultiLvlLbl val="0"/>
      </c:catAx>
      <c:valAx>
        <c:axId val="4762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Claims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58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8</xdr:col>
      <xdr:colOff>724680</xdr:colOff>
      <xdr:row>24</xdr:row>
      <xdr:rowOff>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558720</xdr:colOff>
      <xdr:row>33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574200</xdr:colOff>
      <xdr:row>38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261720</xdr:colOff>
      <xdr:row>32</xdr:row>
      <xdr:rowOff>149760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320040</xdr:colOff>
      <xdr:row>11</xdr:row>
      <xdr:rowOff>173355</xdr:rowOff>
    </xdr:from>
    <xdr:to>
      <xdr:col>17</xdr:col>
      <xdr:colOff>8310</xdr:colOff>
      <xdr:row>32</xdr:row>
      <xdr:rowOff>144045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466725</xdr:colOff>
      <xdr:row>0</xdr:row>
      <xdr:rowOff>285750</xdr:rowOff>
    </xdr:from>
    <xdr:to>
      <xdr:col>19</xdr:col>
      <xdr:colOff>183855</xdr:colOff>
      <xdr:row>19</xdr:row>
      <xdr:rowOff>117300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18</xdr:col>
      <xdr:colOff>78480</xdr:colOff>
      <xdr:row>23</xdr:row>
      <xdr:rowOff>29520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zoomScaleNormal="100" workbookViewId="0">
      <selection activeCell="D29" sqref="D29"/>
    </sheetView>
  </sheetViews>
  <sheetFormatPr defaultColWidth="8.6640625" defaultRowHeight="14.4" x14ac:dyDescent="0.3"/>
  <cols>
    <col min="1" max="9" width="17" customWidth="1"/>
  </cols>
  <sheetData>
    <row r="1" spans="1:9" ht="36" customHeight="1" x14ac:dyDescent="0.3">
      <c r="A1" s="50" t="s">
        <v>1366</v>
      </c>
      <c r="B1" s="50"/>
      <c r="C1" s="50"/>
      <c r="D1" s="50"/>
      <c r="E1" s="50"/>
      <c r="F1" s="50"/>
      <c r="G1" s="50"/>
      <c r="H1" s="50"/>
      <c r="I1" s="50"/>
    </row>
    <row r="2" spans="1:9" ht="19.5" customHeight="1" x14ac:dyDescent="0.3">
      <c r="A2" s="51" t="s">
        <v>0</v>
      </c>
      <c r="B2" s="51"/>
      <c r="C2" s="51"/>
      <c r="D2" s="51"/>
      <c r="E2" s="51"/>
      <c r="F2" s="51"/>
      <c r="G2" s="51"/>
      <c r="H2" s="51"/>
      <c r="I2" s="51"/>
    </row>
    <row r="3" spans="1:9" ht="9.75" customHeight="1" x14ac:dyDescent="0.3"/>
    <row r="4" spans="1:9" ht="18" customHeight="1" x14ac:dyDescent="0.3">
      <c r="A4" s="49" t="s">
        <v>1</v>
      </c>
      <c r="B4" s="49"/>
      <c r="C4" s="49"/>
      <c r="D4" s="49"/>
      <c r="E4" s="49"/>
      <c r="F4" s="49"/>
      <c r="G4" s="49"/>
      <c r="H4" s="49"/>
    </row>
    <row r="5" spans="1:9" ht="24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30" customHeight="1" x14ac:dyDescent="0.3">
      <c r="A6" s="2">
        <v>2025</v>
      </c>
      <c r="B6" s="2">
        <v>119190218.17</v>
      </c>
      <c r="C6" s="2">
        <v>91971028.870000005</v>
      </c>
      <c r="D6" s="2">
        <v>27219189.300000001</v>
      </c>
      <c r="E6" s="3">
        <v>0.598518518518519</v>
      </c>
      <c r="F6" s="4">
        <v>0.18666666666666701</v>
      </c>
      <c r="G6" s="5">
        <v>0.21481481481481501</v>
      </c>
      <c r="H6" s="2">
        <v>60625.746780264497</v>
      </c>
      <c r="I6" s="6">
        <v>0.77163235609504899</v>
      </c>
    </row>
    <row r="7" spans="1:9" ht="9.75" customHeight="1" x14ac:dyDescent="0.3"/>
    <row r="8" spans="1:9" ht="18" customHeight="1" x14ac:dyDescent="0.3">
      <c r="A8" s="49" t="s">
        <v>11</v>
      </c>
      <c r="B8" s="49"/>
      <c r="C8" s="49"/>
      <c r="D8" s="49"/>
    </row>
    <row r="9" spans="1:9" ht="21.75" customHeight="1" x14ac:dyDescent="0.3">
      <c r="A9" s="7" t="s">
        <v>12</v>
      </c>
      <c r="B9" s="7" t="s">
        <v>13</v>
      </c>
      <c r="C9" s="7" t="s">
        <v>14</v>
      </c>
      <c r="D9" s="7" t="s">
        <v>15</v>
      </c>
    </row>
    <row r="10" spans="1:9" ht="19.5" customHeight="1" x14ac:dyDescent="0.3">
      <c r="A10" s="8" t="s">
        <v>16</v>
      </c>
      <c r="B10" s="9">
        <v>1212</v>
      </c>
      <c r="C10" s="10">
        <v>0.598518518518519</v>
      </c>
      <c r="D10" s="10">
        <v>0.598518518518519</v>
      </c>
    </row>
    <row r="11" spans="1:9" ht="19.5" customHeight="1" x14ac:dyDescent="0.3">
      <c r="A11" s="11" t="s">
        <v>17</v>
      </c>
      <c r="B11" s="12">
        <v>435</v>
      </c>
      <c r="C11" s="13">
        <v>0.21481481481481501</v>
      </c>
      <c r="D11" s="13">
        <v>0.81333333333333302</v>
      </c>
    </row>
    <row r="12" spans="1:9" ht="19.5" customHeight="1" x14ac:dyDescent="0.3">
      <c r="A12" s="14" t="s">
        <v>18</v>
      </c>
      <c r="B12" s="15">
        <v>378</v>
      </c>
      <c r="C12" s="16">
        <v>0.18666666666666701</v>
      </c>
      <c r="D12" s="16">
        <v>1</v>
      </c>
    </row>
    <row r="13" spans="1:9" ht="19.5" customHeight="1" x14ac:dyDescent="0.3">
      <c r="A13" s="7" t="s">
        <v>19</v>
      </c>
      <c r="B13" s="7">
        <v>2025</v>
      </c>
      <c r="C13" s="7" t="s">
        <v>20</v>
      </c>
      <c r="D13" s="7" t="s">
        <v>20</v>
      </c>
    </row>
  </sheetData>
  <mergeCells count="4">
    <mergeCell ref="A1:I1"/>
    <mergeCell ref="A2:I2"/>
    <mergeCell ref="A4:H4"/>
    <mergeCell ref="A8:D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18" customWidth="1"/>
    <col min="2" max="2" width="14" customWidth="1"/>
    <col min="3" max="3" width="16" customWidth="1"/>
    <col min="4" max="5" width="18" customWidth="1"/>
    <col min="6" max="7" width="14" customWidth="1"/>
  </cols>
  <sheetData>
    <row r="1" spans="1:8" ht="31.5" customHeight="1" x14ac:dyDescent="0.3">
      <c r="A1" s="48" t="s">
        <v>21</v>
      </c>
      <c r="B1" s="48"/>
      <c r="C1" s="48"/>
      <c r="D1" s="48"/>
      <c r="E1" s="48"/>
      <c r="F1" s="48"/>
      <c r="G1" s="48"/>
      <c r="H1" s="48"/>
    </row>
    <row r="2" spans="1:8" ht="7.5" customHeight="1" x14ac:dyDescent="0.3"/>
    <row r="3" spans="1:8" ht="18" customHeight="1" x14ac:dyDescent="0.3">
      <c r="A3" s="49" t="s">
        <v>22</v>
      </c>
      <c r="B3" s="49"/>
      <c r="C3" s="49"/>
      <c r="D3" s="49"/>
      <c r="E3" s="49"/>
      <c r="F3" s="49"/>
      <c r="G3" s="49"/>
    </row>
    <row r="4" spans="1:8" ht="21.75" customHeight="1" x14ac:dyDescent="0.3">
      <c r="A4" s="7" t="s">
        <v>23</v>
      </c>
      <c r="B4" s="7" t="s">
        <v>2</v>
      </c>
      <c r="C4" s="7" t="s">
        <v>24</v>
      </c>
      <c r="D4" s="7" t="s">
        <v>25</v>
      </c>
      <c r="E4" s="7" t="s">
        <v>26</v>
      </c>
      <c r="F4" s="7" t="s">
        <v>6</v>
      </c>
      <c r="G4" s="7" t="s">
        <v>27</v>
      </c>
    </row>
    <row r="5" spans="1:8" ht="19.5" customHeight="1" x14ac:dyDescent="0.3">
      <c r="A5" s="17" t="s">
        <v>28</v>
      </c>
      <c r="B5" s="18">
        <v>427</v>
      </c>
      <c r="C5" s="18">
        <v>61959</v>
      </c>
      <c r="D5" s="18">
        <v>25712960</v>
      </c>
      <c r="E5" s="18">
        <v>19848949</v>
      </c>
      <c r="F5" s="19">
        <v>0.59499999999999997</v>
      </c>
      <c r="G5" s="18">
        <v>72</v>
      </c>
    </row>
    <row r="6" spans="1:8" ht="19.5" customHeight="1" x14ac:dyDescent="0.3">
      <c r="A6" s="20" t="s">
        <v>29</v>
      </c>
      <c r="B6" s="21">
        <v>415</v>
      </c>
      <c r="C6" s="21">
        <v>60862</v>
      </c>
      <c r="D6" s="21">
        <v>24223119</v>
      </c>
      <c r="E6" s="21">
        <v>19295373</v>
      </c>
      <c r="F6" s="22">
        <v>0.60699999999999998</v>
      </c>
      <c r="G6" s="21">
        <v>81</v>
      </c>
    </row>
    <row r="7" spans="1:8" ht="19.5" customHeight="1" x14ac:dyDescent="0.3">
      <c r="A7" s="17" t="s">
        <v>30</v>
      </c>
      <c r="B7" s="18">
        <v>411</v>
      </c>
      <c r="C7" s="18">
        <v>60711</v>
      </c>
      <c r="D7" s="18">
        <v>24587794</v>
      </c>
      <c r="E7" s="18">
        <v>18623029</v>
      </c>
      <c r="F7" s="19">
        <v>0.58399999999999996</v>
      </c>
      <c r="G7" s="18">
        <v>73</v>
      </c>
    </row>
    <row r="8" spans="1:8" ht="19.5" customHeight="1" x14ac:dyDescent="0.3">
      <c r="A8" s="20" t="s">
        <v>31</v>
      </c>
      <c r="B8" s="21">
        <v>389</v>
      </c>
      <c r="C8" s="21">
        <v>59572</v>
      </c>
      <c r="D8" s="21">
        <v>22637460</v>
      </c>
      <c r="E8" s="21">
        <v>17164032</v>
      </c>
      <c r="F8" s="22">
        <v>0.60199999999999998</v>
      </c>
      <c r="G8" s="21">
        <v>79</v>
      </c>
    </row>
    <row r="9" spans="1:8" ht="19.5" customHeight="1" x14ac:dyDescent="0.3">
      <c r="A9" s="17" t="s">
        <v>32</v>
      </c>
      <c r="B9" s="18">
        <v>383</v>
      </c>
      <c r="C9" s="18">
        <v>59861</v>
      </c>
      <c r="D9" s="18">
        <v>22028884</v>
      </c>
      <c r="E9" s="18">
        <v>17039646</v>
      </c>
      <c r="F9" s="19">
        <v>0.60599999999999998</v>
      </c>
      <c r="G9" s="18">
        <v>73</v>
      </c>
    </row>
    <row r="10" spans="1:8" ht="21.75" customHeight="1" x14ac:dyDescent="0.3">
      <c r="A10" s="7" t="s">
        <v>19</v>
      </c>
      <c r="B10" s="23">
        <f>SUM(B5:B9)</f>
        <v>2025</v>
      </c>
      <c r="C10" s="7"/>
      <c r="D10" s="23">
        <f>SUM(D5:D9)</f>
        <v>119190217</v>
      </c>
      <c r="E10" s="23">
        <f>SUM(E5:E9)</f>
        <v>91971029</v>
      </c>
      <c r="F10" s="24">
        <f>AVERAGE(F5:F9)</f>
        <v>0.5988</v>
      </c>
      <c r="G10" s="23">
        <f>SUM(G5:G9)</f>
        <v>378</v>
      </c>
    </row>
  </sheetData>
  <mergeCells count="2">
    <mergeCell ref="A1:H1"/>
    <mergeCell ref="A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0" customWidth="1"/>
    <col min="2" max="2" width="10" customWidth="1"/>
    <col min="3" max="3" width="16" customWidth="1"/>
    <col min="4" max="5" width="18" customWidth="1"/>
    <col min="6" max="6" width="12" customWidth="1"/>
    <col min="7" max="7" width="14" customWidth="1"/>
  </cols>
  <sheetData>
    <row r="1" spans="1:8" ht="31.5" customHeight="1" x14ac:dyDescent="0.3">
      <c r="A1" s="48" t="s">
        <v>33</v>
      </c>
      <c r="B1" s="48"/>
      <c r="C1" s="48"/>
      <c r="D1" s="48"/>
      <c r="E1" s="48"/>
      <c r="F1" s="48"/>
      <c r="G1" s="48"/>
      <c r="H1" s="48"/>
    </row>
    <row r="2" spans="1:8" ht="7.5" customHeight="1" x14ac:dyDescent="0.3"/>
    <row r="3" spans="1:8" ht="18" customHeight="1" x14ac:dyDescent="0.3">
      <c r="A3" s="49" t="s">
        <v>34</v>
      </c>
      <c r="B3" s="49"/>
      <c r="C3" s="49"/>
      <c r="D3" s="49"/>
      <c r="E3" s="49"/>
      <c r="F3" s="49"/>
      <c r="G3" s="49"/>
    </row>
    <row r="4" spans="1:8" ht="21.75" customHeight="1" x14ac:dyDescent="0.3">
      <c r="A4" s="7" t="s">
        <v>35</v>
      </c>
      <c r="B4" s="7" t="s">
        <v>36</v>
      </c>
      <c r="C4" s="7" t="s">
        <v>24</v>
      </c>
      <c r="D4" s="7" t="s">
        <v>25</v>
      </c>
      <c r="E4" s="7" t="s">
        <v>37</v>
      </c>
      <c r="F4" s="7" t="s">
        <v>38</v>
      </c>
      <c r="G4" s="7" t="s">
        <v>39</v>
      </c>
    </row>
    <row r="5" spans="1:8" ht="19.5" customHeight="1" x14ac:dyDescent="0.3">
      <c r="A5" s="17" t="s">
        <v>40</v>
      </c>
      <c r="B5" s="18">
        <v>267</v>
      </c>
      <c r="C5" s="18">
        <v>62063</v>
      </c>
      <c r="D5" s="18">
        <v>15826028</v>
      </c>
      <c r="E5" s="18">
        <v>22000</v>
      </c>
      <c r="F5" s="25" t="s">
        <v>41</v>
      </c>
      <c r="G5" s="26">
        <v>40063</v>
      </c>
    </row>
    <row r="6" spans="1:8" ht="19.5" customHeight="1" x14ac:dyDescent="0.3">
      <c r="A6" s="20" t="s">
        <v>42</v>
      </c>
      <c r="B6" s="21">
        <v>266</v>
      </c>
      <c r="C6" s="21">
        <v>59732</v>
      </c>
      <c r="D6" s="21">
        <v>15590015</v>
      </c>
      <c r="E6" s="21">
        <v>1500</v>
      </c>
      <c r="F6" s="27" t="s">
        <v>43</v>
      </c>
      <c r="G6" s="28">
        <v>58232</v>
      </c>
    </row>
    <row r="7" spans="1:8" ht="19.5" customHeight="1" x14ac:dyDescent="0.3">
      <c r="A7" s="17" t="s">
        <v>44</v>
      </c>
      <c r="B7" s="18">
        <v>264</v>
      </c>
      <c r="C7" s="18">
        <v>63654</v>
      </c>
      <c r="D7" s="18">
        <v>16231820</v>
      </c>
      <c r="E7" s="18">
        <v>35000</v>
      </c>
      <c r="F7" s="29" t="s">
        <v>45</v>
      </c>
      <c r="G7" s="26">
        <v>28654</v>
      </c>
    </row>
    <row r="8" spans="1:8" ht="19.5" customHeight="1" x14ac:dyDescent="0.3">
      <c r="A8" s="20" t="s">
        <v>46</v>
      </c>
      <c r="B8" s="21">
        <v>256</v>
      </c>
      <c r="C8" s="21">
        <v>60857</v>
      </c>
      <c r="D8" s="21">
        <v>15275064</v>
      </c>
      <c r="E8" s="21">
        <v>15000</v>
      </c>
      <c r="F8" s="25" t="s">
        <v>41</v>
      </c>
      <c r="G8" s="28">
        <v>45857</v>
      </c>
    </row>
    <row r="9" spans="1:8" ht="19.5" customHeight="1" x14ac:dyDescent="0.3">
      <c r="A9" s="17" t="s">
        <v>47</v>
      </c>
      <c r="B9" s="18">
        <v>249</v>
      </c>
      <c r="C9" s="18">
        <v>58934</v>
      </c>
      <c r="D9" s="18">
        <v>14321071</v>
      </c>
      <c r="E9" s="18">
        <v>95000</v>
      </c>
      <c r="F9" s="25" t="s">
        <v>41</v>
      </c>
      <c r="G9" s="30">
        <v>-36066</v>
      </c>
    </row>
    <row r="10" spans="1:8" ht="19.5" customHeight="1" x14ac:dyDescent="0.3">
      <c r="A10" s="20" t="s">
        <v>48</v>
      </c>
      <c r="B10" s="21">
        <v>248</v>
      </c>
      <c r="C10" s="21">
        <v>54912</v>
      </c>
      <c r="D10" s="21">
        <v>13288658</v>
      </c>
      <c r="E10" s="21">
        <v>18000</v>
      </c>
      <c r="F10" s="25" t="s">
        <v>41</v>
      </c>
      <c r="G10" s="28">
        <v>36912</v>
      </c>
    </row>
    <row r="11" spans="1:8" ht="19.5" customHeight="1" x14ac:dyDescent="0.3">
      <c r="A11" s="17" t="s">
        <v>49</v>
      </c>
      <c r="B11" s="18">
        <v>242</v>
      </c>
      <c r="C11" s="18">
        <v>64233</v>
      </c>
      <c r="D11" s="18">
        <v>14837806</v>
      </c>
      <c r="E11" s="18">
        <v>3500</v>
      </c>
      <c r="F11" s="27" t="s">
        <v>43</v>
      </c>
      <c r="G11" s="26">
        <v>60733</v>
      </c>
    </row>
    <row r="12" spans="1:8" ht="19.5" customHeight="1" x14ac:dyDescent="0.3">
      <c r="A12" s="20" t="s">
        <v>50</v>
      </c>
      <c r="B12" s="21">
        <v>233</v>
      </c>
      <c r="C12" s="21">
        <v>60613</v>
      </c>
      <c r="D12" s="21">
        <v>13819756</v>
      </c>
      <c r="E12" s="21">
        <v>80000</v>
      </c>
      <c r="F12" s="25" t="s">
        <v>41</v>
      </c>
      <c r="G12" s="31">
        <v>-19387</v>
      </c>
    </row>
    <row r="13" spans="1:8" ht="21.75" customHeight="1" x14ac:dyDescent="0.3">
      <c r="A13" s="7" t="s">
        <v>19</v>
      </c>
      <c r="B13" s="23">
        <f>SUM(B5:B12)</f>
        <v>2025</v>
      </c>
      <c r="C13" s="23">
        <f>AVERAGE(C5:C12)</f>
        <v>60624.75</v>
      </c>
      <c r="D13" s="23">
        <f>SUM(D5:D12)</f>
        <v>119190218</v>
      </c>
      <c r="E13" s="23">
        <f>AVERAGE(E5:E12)</f>
        <v>33750</v>
      </c>
      <c r="F13" s="7"/>
      <c r="G13" s="23">
        <f>AVERAGE(G5:G12)</f>
        <v>26874.75</v>
      </c>
    </row>
  </sheetData>
  <mergeCells count="2">
    <mergeCell ref="A1:H1"/>
    <mergeCell ref="A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zoomScaleNormal="100" workbookViewId="0">
      <selection activeCell="A9" sqref="A9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0" customWidth="1"/>
    <col min="4" max="4" width="4" customWidth="1"/>
    <col min="5" max="5" width="14" customWidth="1"/>
    <col min="6" max="6" width="12" customWidth="1"/>
    <col min="7" max="7" width="10" customWidth="1"/>
  </cols>
  <sheetData>
    <row r="1" spans="1:7" ht="31.5" customHeight="1" x14ac:dyDescent="0.3">
      <c r="A1" s="48" t="s">
        <v>51</v>
      </c>
      <c r="B1" s="48"/>
      <c r="C1" s="48"/>
      <c r="D1" s="48"/>
      <c r="E1" s="48"/>
      <c r="F1" s="48"/>
      <c r="G1" s="48"/>
    </row>
    <row r="2" spans="1:7" ht="7.5" customHeight="1" x14ac:dyDescent="0.3"/>
    <row r="3" spans="1:7" x14ac:dyDescent="0.3">
      <c r="A3" s="49" t="s">
        <v>52</v>
      </c>
      <c r="B3" s="49"/>
      <c r="E3" s="49" t="s">
        <v>53</v>
      </c>
      <c r="F3" s="49"/>
    </row>
    <row r="4" spans="1:7" x14ac:dyDescent="0.3">
      <c r="A4" s="7" t="s">
        <v>54</v>
      </c>
      <c r="B4" s="7" t="s">
        <v>36</v>
      </c>
      <c r="C4" s="7" t="s">
        <v>55</v>
      </c>
      <c r="E4" s="7" t="s">
        <v>56</v>
      </c>
      <c r="F4" s="7" t="s">
        <v>36</v>
      </c>
      <c r="G4" s="7" t="s">
        <v>55</v>
      </c>
    </row>
    <row r="5" spans="1:7" ht="19.5" customHeight="1" x14ac:dyDescent="0.3">
      <c r="A5" s="17" t="s">
        <v>57</v>
      </c>
      <c r="B5" s="18">
        <v>419</v>
      </c>
      <c r="C5" s="19">
        <v>0.206913580246914</v>
      </c>
      <c r="E5" s="17" t="s">
        <v>58</v>
      </c>
      <c r="F5" s="18">
        <v>29</v>
      </c>
      <c r="G5" s="19">
        <v>1.4320987654321E-2</v>
      </c>
    </row>
    <row r="6" spans="1:7" ht="19.5" customHeight="1" x14ac:dyDescent="0.3">
      <c r="A6" s="20" t="s">
        <v>59</v>
      </c>
      <c r="B6" s="21">
        <v>413</v>
      </c>
      <c r="C6" s="22">
        <v>0.203950617283951</v>
      </c>
      <c r="E6" s="20" t="s">
        <v>60</v>
      </c>
      <c r="F6" s="21">
        <v>351</v>
      </c>
      <c r="G6" s="22">
        <v>0.17333333333333301</v>
      </c>
    </row>
    <row r="7" spans="1:7" ht="19.5" customHeight="1" x14ac:dyDescent="0.3">
      <c r="A7" s="17" t="s">
        <v>61</v>
      </c>
      <c r="B7" s="18">
        <v>409</v>
      </c>
      <c r="C7" s="19">
        <v>0.20197530864197499</v>
      </c>
      <c r="E7" s="17" t="s">
        <v>62</v>
      </c>
      <c r="F7" s="18">
        <v>457</v>
      </c>
      <c r="G7" s="19">
        <v>0.225679012345679</v>
      </c>
    </row>
    <row r="8" spans="1:7" ht="19.5" customHeight="1" x14ac:dyDescent="0.3">
      <c r="A8" s="20" t="s">
        <v>63</v>
      </c>
      <c r="B8" s="21">
        <v>397</v>
      </c>
      <c r="C8" s="22">
        <v>0.19604938271604899</v>
      </c>
      <c r="E8" s="20" t="s">
        <v>64</v>
      </c>
      <c r="F8" s="21">
        <v>480</v>
      </c>
      <c r="G8" s="22">
        <v>0.23703703703703699</v>
      </c>
    </row>
    <row r="9" spans="1:7" ht="19.5" customHeight="1" x14ac:dyDescent="0.3">
      <c r="A9" s="17" t="s">
        <v>65</v>
      </c>
      <c r="B9" s="18">
        <v>387</v>
      </c>
      <c r="C9" s="19">
        <v>0.19111111111111101</v>
      </c>
      <c r="E9" s="17" t="s">
        <v>66</v>
      </c>
      <c r="F9" s="18">
        <v>440</v>
      </c>
      <c r="G9" s="19">
        <v>0.21728395061728401</v>
      </c>
    </row>
    <row r="10" spans="1:7" ht="19.5" customHeight="1" x14ac:dyDescent="0.3">
      <c r="E10" s="20" t="s">
        <v>67</v>
      </c>
      <c r="F10" s="21">
        <v>268</v>
      </c>
      <c r="G10" s="22">
        <v>0.13234567901234601</v>
      </c>
    </row>
  </sheetData>
  <mergeCells count="3">
    <mergeCell ref="A1:G1"/>
    <mergeCell ref="A3:B3"/>
    <mergeCell ref="E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showGridLines="0" zoomScaleNormal="100" workbookViewId="0">
      <selection activeCell="G24" sqref="G24"/>
    </sheetView>
  </sheetViews>
  <sheetFormatPr defaultColWidth="8.6640625" defaultRowHeight="14.4" x14ac:dyDescent="0.3"/>
  <cols>
    <col min="1" max="1" width="20" customWidth="1"/>
    <col min="2" max="2" width="12" customWidth="1"/>
    <col min="3" max="3" width="14" customWidth="1"/>
    <col min="4" max="4" width="16" customWidth="1"/>
    <col min="5" max="6" width="4" customWidth="1"/>
    <col min="7" max="7" width="18" customWidth="1"/>
    <col min="8" max="8" width="12" customWidth="1"/>
    <col min="9" max="9" width="14" customWidth="1"/>
  </cols>
  <sheetData>
    <row r="1" spans="1:9" ht="31.5" customHeight="1" x14ac:dyDescent="0.3">
      <c r="A1" s="52" t="s">
        <v>68</v>
      </c>
      <c r="B1" s="52"/>
      <c r="C1" s="52"/>
      <c r="D1" s="52"/>
      <c r="E1" s="52"/>
      <c r="F1" s="52"/>
    </row>
    <row r="2" spans="1:9" ht="7.5" customHeight="1" x14ac:dyDescent="0.3"/>
    <row r="3" spans="1:9" ht="18" customHeight="1" x14ac:dyDescent="0.3">
      <c r="A3" s="49" t="s">
        <v>69</v>
      </c>
      <c r="B3" s="49"/>
      <c r="C3" s="49"/>
      <c r="D3" s="49"/>
    </row>
    <row r="4" spans="1:9" ht="21.75" customHeight="1" x14ac:dyDescent="0.3">
      <c r="A4" s="32" t="s">
        <v>70</v>
      </c>
      <c r="B4" s="32" t="s">
        <v>13</v>
      </c>
      <c r="C4" s="32" t="s">
        <v>71</v>
      </c>
      <c r="D4" s="32" t="s">
        <v>72</v>
      </c>
    </row>
    <row r="5" spans="1:9" ht="21.75" customHeight="1" x14ac:dyDescent="0.3">
      <c r="A5" s="33" t="s">
        <v>73</v>
      </c>
      <c r="B5" s="15">
        <v>252</v>
      </c>
      <c r="C5" s="16">
        <v>0.34854771784232402</v>
      </c>
      <c r="D5" s="16">
        <v>0.124444444444444</v>
      </c>
    </row>
    <row r="6" spans="1:9" ht="21.75" customHeight="1" x14ac:dyDescent="0.3">
      <c r="A6" s="34" t="s">
        <v>74</v>
      </c>
      <c r="B6" s="12">
        <v>238</v>
      </c>
      <c r="C6" s="13">
        <v>0.329183955739972</v>
      </c>
      <c r="D6" s="13">
        <v>0.117530864197531</v>
      </c>
    </row>
    <row r="7" spans="1:9" ht="21.75" customHeight="1" x14ac:dyDescent="0.3">
      <c r="A7" s="35" t="s">
        <v>75</v>
      </c>
      <c r="B7" s="36">
        <v>233</v>
      </c>
      <c r="C7" s="37">
        <v>0.32226832641770398</v>
      </c>
      <c r="D7" s="37">
        <v>0.115061728395062</v>
      </c>
    </row>
    <row r="9" spans="1:9" x14ac:dyDescent="0.3">
      <c r="G9" s="49" t="s">
        <v>76</v>
      </c>
      <c r="H9" s="49"/>
    </row>
    <row r="10" spans="1:9" x14ac:dyDescent="0.3">
      <c r="G10" s="32" t="s">
        <v>23</v>
      </c>
      <c r="H10" s="32" t="s">
        <v>77</v>
      </c>
      <c r="I10" s="32" t="s">
        <v>78</v>
      </c>
    </row>
    <row r="11" spans="1:9" ht="19.5" customHeight="1" x14ac:dyDescent="0.3">
      <c r="G11" s="17" t="s">
        <v>29</v>
      </c>
      <c r="H11" s="18">
        <v>81</v>
      </c>
      <c r="I11" s="19">
        <v>0.19518072289156599</v>
      </c>
    </row>
    <row r="12" spans="1:9" ht="19.5" customHeight="1" x14ac:dyDescent="0.3">
      <c r="G12" s="20" t="s">
        <v>31</v>
      </c>
      <c r="H12" s="21">
        <v>79</v>
      </c>
      <c r="I12" s="22">
        <v>0.20308483290488399</v>
      </c>
    </row>
    <row r="13" spans="1:9" ht="19.5" customHeight="1" x14ac:dyDescent="0.3">
      <c r="G13" s="17" t="s">
        <v>32</v>
      </c>
      <c r="H13" s="18">
        <v>73</v>
      </c>
      <c r="I13" s="19">
        <v>0.190600522193212</v>
      </c>
    </row>
    <row r="14" spans="1:9" ht="19.5" customHeight="1" x14ac:dyDescent="0.3">
      <c r="G14" s="20" t="s">
        <v>30</v>
      </c>
      <c r="H14" s="21">
        <v>73</v>
      </c>
      <c r="I14" s="22">
        <v>0.177615571776156</v>
      </c>
    </row>
    <row r="15" spans="1:9" ht="19.5" customHeight="1" x14ac:dyDescent="0.3">
      <c r="G15" s="17" t="s">
        <v>28</v>
      </c>
      <c r="H15" s="18">
        <v>72</v>
      </c>
      <c r="I15" s="19">
        <v>0.16861826697892299</v>
      </c>
    </row>
  </sheetData>
  <mergeCells count="3">
    <mergeCell ref="A1:F1"/>
    <mergeCell ref="A3:D3"/>
    <mergeCell ref="G9:H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4" customWidth="1"/>
  </cols>
  <sheetData>
    <row r="1" spans="1:4" ht="31.5" customHeight="1" x14ac:dyDescent="0.3">
      <c r="A1" s="48" t="s">
        <v>79</v>
      </c>
      <c r="B1" s="48"/>
      <c r="C1" s="48"/>
      <c r="D1" s="48"/>
    </row>
    <row r="2" spans="1:4" ht="7.5" customHeight="1" x14ac:dyDescent="0.3"/>
    <row r="3" spans="1:4" ht="18" customHeight="1" x14ac:dyDescent="0.3">
      <c r="A3" s="49" t="s">
        <v>80</v>
      </c>
      <c r="B3" s="49"/>
      <c r="C3" s="49"/>
    </row>
    <row r="4" spans="1:4" ht="21.75" customHeight="1" x14ac:dyDescent="0.3">
      <c r="A4" s="7" t="s">
        <v>81</v>
      </c>
      <c r="B4" s="7" t="s">
        <v>82</v>
      </c>
      <c r="C4" s="7" t="s">
        <v>83</v>
      </c>
    </row>
    <row r="5" spans="1:4" ht="19.5" customHeight="1" x14ac:dyDescent="0.3">
      <c r="A5" s="38" t="s">
        <v>84</v>
      </c>
      <c r="B5" s="18">
        <v>32</v>
      </c>
      <c r="C5" s="18">
        <v>1725310</v>
      </c>
    </row>
    <row r="6" spans="1:4" ht="19.5" customHeight="1" x14ac:dyDescent="0.3">
      <c r="A6" s="39" t="s">
        <v>85</v>
      </c>
      <c r="B6" s="21">
        <v>32</v>
      </c>
      <c r="C6" s="21">
        <v>1613158</v>
      </c>
    </row>
    <row r="7" spans="1:4" ht="19.5" customHeight="1" x14ac:dyDescent="0.3">
      <c r="A7" s="38" t="s">
        <v>86</v>
      </c>
      <c r="B7" s="18">
        <v>29</v>
      </c>
      <c r="C7" s="18">
        <v>1375464</v>
      </c>
    </row>
    <row r="8" spans="1:4" ht="19.5" customHeight="1" x14ac:dyDescent="0.3">
      <c r="A8" s="39" t="s">
        <v>87</v>
      </c>
      <c r="B8" s="21">
        <v>31</v>
      </c>
      <c r="C8" s="21">
        <v>1476410</v>
      </c>
    </row>
    <row r="9" spans="1:4" ht="19.5" customHeight="1" x14ac:dyDescent="0.3">
      <c r="A9" s="38" t="s">
        <v>88</v>
      </c>
      <c r="B9" s="18">
        <v>34</v>
      </c>
      <c r="C9" s="18">
        <v>2160467</v>
      </c>
    </row>
    <row r="10" spans="1:4" ht="19.5" customHeight="1" x14ac:dyDescent="0.3">
      <c r="A10" s="39" t="s">
        <v>89</v>
      </c>
      <c r="B10" s="21">
        <v>28</v>
      </c>
      <c r="C10" s="21">
        <v>1481298</v>
      </c>
    </row>
    <row r="11" spans="1:4" ht="19.5" customHeight="1" x14ac:dyDescent="0.3">
      <c r="A11" s="38" t="s">
        <v>90</v>
      </c>
      <c r="B11" s="18">
        <v>32</v>
      </c>
      <c r="C11" s="18">
        <v>1940414</v>
      </c>
    </row>
    <row r="12" spans="1:4" ht="19.5" customHeight="1" x14ac:dyDescent="0.3">
      <c r="A12" s="39" t="s">
        <v>91</v>
      </c>
      <c r="B12" s="21">
        <v>28</v>
      </c>
      <c r="C12" s="21">
        <v>1777127</v>
      </c>
    </row>
    <row r="13" spans="1:4" ht="19.5" customHeight="1" x14ac:dyDescent="0.3">
      <c r="A13" s="38" t="s">
        <v>92</v>
      </c>
      <c r="B13" s="18">
        <v>27</v>
      </c>
      <c r="C13" s="18">
        <v>1866441</v>
      </c>
    </row>
    <row r="14" spans="1:4" ht="19.5" customHeight="1" x14ac:dyDescent="0.3">
      <c r="A14" s="39" t="s">
        <v>93</v>
      </c>
      <c r="B14" s="21">
        <v>31</v>
      </c>
      <c r="C14" s="21">
        <v>1728259</v>
      </c>
    </row>
    <row r="15" spans="1:4" ht="19.5" customHeight="1" x14ac:dyDescent="0.3">
      <c r="A15" s="38" t="s">
        <v>94</v>
      </c>
      <c r="B15" s="18">
        <v>30</v>
      </c>
      <c r="C15" s="18">
        <v>1786321</v>
      </c>
    </row>
    <row r="16" spans="1:4" ht="19.5" customHeight="1" x14ac:dyDescent="0.3">
      <c r="A16" s="39" t="s">
        <v>95</v>
      </c>
      <c r="B16" s="21">
        <v>35</v>
      </c>
      <c r="C16" s="21">
        <v>1881540</v>
      </c>
    </row>
    <row r="17" spans="1:3" ht="19.5" customHeight="1" x14ac:dyDescent="0.3">
      <c r="A17" s="38" t="s">
        <v>96</v>
      </c>
      <c r="B17" s="18">
        <v>31</v>
      </c>
      <c r="C17" s="18">
        <v>1999427</v>
      </c>
    </row>
    <row r="18" spans="1:3" ht="19.5" customHeight="1" x14ac:dyDescent="0.3">
      <c r="A18" s="39" t="s">
        <v>97</v>
      </c>
      <c r="B18" s="21">
        <v>30</v>
      </c>
      <c r="C18" s="21">
        <v>1673197</v>
      </c>
    </row>
    <row r="19" spans="1:3" ht="19.5" customHeight="1" x14ac:dyDescent="0.3">
      <c r="A19" s="38" t="s">
        <v>98</v>
      </c>
      <c r="B19" s="18">
        <v>26</v>
      </c>
      <c r="C19" s="18">
        <v>1391211</v>
      </c>
    </row>
    <row r="20" spans="1:3" ht="19.5" customHeight="1" x14ac:dyDescent="0.3">
      <c r="A20" s="39" t="s">
        <v>99</v>
      </c>
      <c r="B20" s="21">
        <v>31</v>
      </c>
      <c r="C20" s="21">
        <v>1710744</v>
      </c>
    </row>
    <row r="21" spans="1:3" ht="19.5" customHeight="1" x14ac:dyDescent="0.3">
      <c r="A21" s="38" t="s">
        <v>100</v>
      </c>
      <c r="B21" s="18">
        <v>37</v>
      </c>
      <c r="C21" s="18">
        <v>2218525</v>
      </c>
    </row>
    <row r="22" spans="1:3" ht="19.5" customHeight="1" x14ac:dyDescent="0.3">
      <c r="A22" s="39" t="s">
        <v>101</v>
      </c>
      <c r="B22" s="21">
        <v>38</v>
      </c>
      <c r="C22" s="21">
        <v>2589497</v>
      </c>
    </row>
    <row r="23" spans="1:3" ht="21.75" customHeight="1" x14ac:dyDescent="0.3">
      <c r="A23" s="7" t="s">
        <v>19</v>
      </c>
      <c r="B23" s="23">
        <f>SUM(B5:B22)</f>
        <v>562</v>
      </c>
      <c r="C23" s="23">
        <f>SUM(C5:C22)</f>
        <v>32394810</v>
      </c>
    </row>
  </sheetData>
  <mergeCells count="2">
    <mergeCell ref="A1:D1"/>
    <mergeCell ref="A3:C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6" customWidth="1"/>
    <col min="4" max="6" width="8" customWidth="1"/>
    <col min="7" max="7" width="10" customWidth="1"/>
    <col min="8" max="8" width="12" customWidth="1"/>
    <col min="9" max="9" width="14" customWidth="1"/>
    <col min="10" max="10" width="16" customWidth="1"/>
    <col min="11" max="13" width="14" customWidth="1"/>
    <col min="14" max="14" width="16" customWidth="1"/>
    <col min="15" max="15" width="12" customWidth="1"/>
  </cols>
  <sheetData>
    <row r="1" spans="1:15" ht="21.75" customHeight="1" x14ac:dyDescent="0.3">
      <c r="A1" s="7" t="s">
        <v>102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54</v>
      </c>
      <c r="I1" s="7" t="s">
        <v>23</v>
      </c>
      <c r="J1" s="7" t="s">
        <v>35</v>
      </c>
      <c r="K1" s="7" t="s">
        <v>109</v>
      </c>
      <c r="L1" s="7" t="s">
        <v>110</v>
      </c>
      <c r="M1" s="7" t="s">
        <v>111</v>
      </c>
      <c r="N1" s="7" t="s">
        <v>70</v>
      </c>
      <c r="O1" s="7" t="s">
        <v>112</v>
      </c>
    </row>
    <row r="2" spans="1:15" ht="15.75" customHeight="1" x14ac:dyDescent="0.3">
      <c r="A2" s="40" t="s">
        <v>113</v>
      </c>
      <c r="B2" s="40" t="s">
        <v>114</v>
      </c>
      <c r="C2" s="40">
        <v>81</v>
      </c>
      <c r="D2" s="40" t="s">
        <v>115</v>
      </c>
      <c r="E2" s="41">
        <v>48.5</v>
      </c>
      <c r="F2" s="40" t="s">
        <v>116</v>
      </c>
      <c r="G2" s="40">
        <v>4</v>
      </c>
      <c r="H2" s="40" t="s">
        <v>57</v>
      </c>
      <c r="I2" s="40" t="s">
        <v>29</v>
      </c>
      <c r="J2" s="40" t="s">
        <v>48</v>
      </c>
      <c r="K2" s="40" t="s">
        <v>117</v>
      </c>
      <c r="L2" s="41">
        <v>34808.21</v>
      </c>
      <c r="M2" s="41">
        <v>32991</v>
      </c>
      <c r="N2" s="40"/>
      <c r="O2" s="42" t="s">
        <v>16</v>
      </c>
    </row>
    <row r="3" spans="1:15" ht="15.75" customHeight="1" x14ac:dyDescent="0.3">
      <c r="A3" s="43" t="s">
        <v>118</v>
      </c>
      <c r="B3" s="43" t="s">
        <v>119</v>
      </c>
      <c r="C3" s="43">
        <v>33</v>
      </c>
      <c r="D3" s="43" t="s">
        <v>120</v>
      </c>
      <c r="E3" s="44">
        <v>42.6</v>
      </c>
      <c r="F3" s="43" t="s">
        <v>116</v>
      </c>
      <c r="G3" s="43">
        <v>4</v>
      </c>
      <c r="H3" s="43" t="s">
        <v>63</v>
      </c>
      <c r="I3" s="43" t="s">
        <v>28</v>
      </c>
      <c r="J3" s="43" t="s">
        <v>46</v>
      </c>
      <c r="K3" s="43" t="s">
        <v>121</v>
      </c>
      <c r="L3" s="44">
        <v>30335.94</v>
      </c>
      <c r="M3" s="44">
        <v>18454.689999999999</v>
      </c>
      <c r="N3" s="43" t="s">
        <v>73</v>
      </c>
      <c r="O3" s="45" t="s">
        <v>18</v>
      </c>
    </row>
    <row r="4" spans="1:15" ht="15.75" customHeight="1" x14ac:dyDescent="0.3">
      <c r="A4" s="40" t="s">
        <v>122</v>
      </c>
      <c r="B4" s="40" t="s">
        <v>123</v>
      </c>
      <c r="C4" s="40">
        <v>59</v>
      </c>
      <c r="D4" s="40" t="s">
        <v>124</v>
      </c>
      <c r="E4" s="41">
        <v>30</v>
      </c>
      <c r="F4" s="40" t="s">
        <v>116</v>
      </c>
      <c r="G4" s="40">
        <v>2</v>
      </c>
      <c r="H4" s="40" t="s">
        <v>63</v>
      </c>
      <c r="I4" s="40" t="s">
        <v>29</v>
      </c>
      <c r="J4" s="40" t="s">
        <v>49</v>
      </c>
      <c r="K4" s="40" t="s">
        <v>125</v>
      </c>
      <c r="L4" s="41">
        <v>98798.53</v>
      </c>
      <c r="M4" s="41">
        <v>98236.96</v>
      </c>
      <c r="N4" s="40"/>
      <c r="O4" s="42" t="s">
        <v>16</v>
      </c>
    </row>
    <row r="5" spans="1:15" ht="15.75" customHeight="1" x14ac:dyDescent="0.3">
      <c r="A5" s="43" t="s">
        <v>126</v>
      </c>
      <c r="B5" s="43" t="s">
        <v>127</v>
      </c>
      <c r="C5" s="43">
        <v>41</v>
      </c>
      <c r="D5" s="43" t="s">
        <v>124</v>
      </c>
      <c r="E5" s="44">
        <v>16.8</v>
      </c>
      <c r="F5" s="43" t="s">
        <v>128</v>
      </c>
      <c r="G5" s="43">
        <v>4</v>
      </c>
      <c r="H5" s="43" t="s">
        <v>63</v>
      </c>
      <c r="I5" s="43" t="s">
        <v>31</v>
      </c>
      <c r="J5" s="43" t="s">
        <v>49</v>
      </c>
      <c r="K5" s="43" t="s">
        <v>129</v>
      </c>
      <c r="L5" s="44">
        <v>72309.539999999994</v>
      </c>
      <c r="M5" s="44">
        <v>39847.94</v>
      </c>
      <c r="N5" s="43" t="s">
        <v>73</v>
      </c>
      <c r="O5" s="42" t="s">
        <v>16</v>
      </c>
    </row>
    <row r="6" spans="1:15" ht="15.75" customHeight="1" x14ac:dyDescent="0.3">
      <c r="A6" s="40" t="s">
        <v>130</v>
      </c>
      <c r="B6" s="40" t="s">
        <v>131</v>
      </c>
      <c r="C6" s="40">
        <v>27</v>
      </c>
      <c r="D6" s="40" t="s">
        <v>115</v>
      </c>
      <c r="E6" s="41">
        <v>38.1</v>
      </c>
      <c r="F6" s="40" t="s">
        <v>116</v>
      </c>
      <c r="G6" s="40">
        <v>2</v>
      </c>
      <c r="H6" s="40" t="s">
        <v>63</v>
      </c>
      <c r="I6" s="40" t="s">
        <v>30</v>
      </c>
      <c r="J6" s="40" t="s">
        <v>47</v>
      </c>
      <c r="K6" s="40" t="s">
        <v>132</v>
      </c>
      <c r="L6" s="41">
        <v>55090.1</v>
      </c>
      <c r="M6" s="41">
        <v>28199.27</v>
      </c>
      <c r="N6" s="40"/>
      <c r="O6" s="42" t="s">
        <v>16</v>
      </c>
    </row>
    <row r="7" spans="1:15" ht="15.75" customHeight="1" x14ac:dyDescent="0.3">
      <c r="A7" s="43" t="s">
        <v>133</v>
      </c>
      <c r="B7" s="43" t="s">
        <v>134</v>
      </c>
      <c r="C7" s="43">
        <v>79</v>
      </c>
      <c r="D7" s="43" t="s">
        <v>124</v>
      </c>
      <c r="E7" s="44"/>
      <c r="F7" s="43" t="s">
        <v>116</v>
      </c>
      <c r="G7" s="43">
        <v>0</v>
      </c>
      <c r="H7" s="43" t="s">
        <v>57</v>
      </c>
      <c r="I7" s="43" t="s">
        <v>31</v>
      </c>
      <c r="J7" s="43" t="s">
        <v>42</v>
      </c>
      <c r="K7" s="43" t="s">
        <v>135</v>
      </c>
      <c r="L7" s="44">
        <v>21314.69</v>
      </c>
      <c r="M7" s="44">
        <v>11234.67</v>
      </c>
      <c r="N7" s="43"/>
      <c r="O7" s="45" t="s">
        <v>18</v>
      </c>
    </row>
    <row r="8" spans="1:15" ht="15.75" customHeight="1" x14ac:dyDescent="0.3">
      <c r="A8" s="40" t="s">
        <v>136</v>
      </c>
      <c r="B8" s="40" t="s">
        <v>137</v>
      </c>
      <c r="C8" s="40">
        <v>69</v>
      </c>
      <c r="D8" s="40" t="s">
        <v>115</v>
      </c>
      <c r="E8" s="41">
        <v>42.2</v>
      </c>
      <c r="F8" s="40" t="s">
        <v>128</v>
      </c>
      <c r="G8" s="40">
        <v>1</v>
      </c>
      <c r="H8" s="40" t="s">
        <v>57</v>
      </c>
      <c r="I8" s="40" t="s">
        <v>29</v>
      </c>
      <c r="J8" s="40" t="s">
        <v>46</v>
      </c>
      <c r="K8" s="40" t="s">
        <v>138</v>
      </c>
      <c r="L8" s="41">
        <v>85299.32</v>
      </c>
      <c r="M8" s="41">
        <v>55863.77</v>
      </c>
      <c r="N8" s="40"/>
      <c r="O8" s="45" t="s">
        <v>18</v>
      </c>
    </row>
    <row r="9" spans="1:15" ht="15.75" customHeight="1" x14ac:dyDescent="0.3">
      <c r="A9" s="43" t="s">
        <v>139</v>
      </c>
      <c r="B9" s="43" t="s">
        <v>140</v>
      </c>
      <c r="C9" s="43">
        <v>74</v>
      </c>
      <c r="D9" s="43" t="s">
        <v>115</v>
      </c>
      <c r="E9" s="44">
        <v>25.6</v>
      </c>
      <c r="F9" s="43" t="s">
        <v>116</v>
      </c>
      <c r="G9" s="43">
        <v>2</v>
      </c>
      <c r="H9" s="43" t="s">
        <v>59</v>
      </c>
      <c r="I9" s="43" t="s">
        <v>31</v>
      </c>
      <c r="J9" s="43" t="s">
        <v>44</v>
      </c>
      <c r="K9" s="43" t="s">
        <v>141</v>
      </c>
      <c r="L9" s="44">
        <v>75432.3</v>
      </c>
      <c r="M9" s="44">
        <v>69409.36</v>
      </c>
      <c r="N9" s="43"/>
      <c r="O9" s="42" t="s">
        <v>16</v>
      </c>
    </row>
    <row r="10" spans="1:15" ht="15.75" customHeight="1" x14ac:dyDescent="0.3">
      <c r="A10" s="40" t="s">
        <v>142</v>
      </c>
      <c r="B10" s="40" t="s">
        <v>143</v>
      </c>
      <c r="C10" s="40">
        <v>19</v>
      </c>
      <c r="D10" s="40" t="s">
        <v>120</v>
      </c>
      <c r="E10" s="41">
        <v>45.5</v>
      </c>
      <c r="F10" s="40" t="s">
        <v>116</v>
      </c>
      <c r="G10" s="40">
        <v>1</v>
      </c>
      <c r="H10" s="40" t="s">
        <v>57</v>
      </c>
      <c r="I10" s="40" t="s">
        <v>30</v>
      </c>
      <c r="J10" s="40" t="s">
        <v>48</v>
      </c>
      <c r="K10" s="40" t="s">
        <v>144</v>
      </c>
      <c r="L10" s="41">
        <v>113690.5</v>
      </c>
      <c r="M10" s="41">
        <v>86761.53</v>
      </c>
      <c r="N10" s="40"/>
      <c r="O10" s="46" t="s">
        <v>17</v>
      </c>
    </row>
    <row r="11" spans="1:15" ht="15.75" customHeight="1" x14ac:dyDescent="0.3">
      <c r="A11" s="43" t="s">
        <v>145</v>
      </c>
      <c r="B11" s="43" t="s">
        <v>146</v>
      </c>
      <c r="C11" s="43">
        <v>57</v>
      </c>
      <c r="D11" s="43" t="s">
        <v>120</v>
      </c>
      <c r="E11" s="44">
        <v>25.6</v>
      </c>
      <c r="F11" s="43" t="s">
        <v>128</v>
      </c>
      <c r="G11" s="43">
        <v>1</v>
      </c>
      <c r="H11" s="43" t="s">
        <v>57</v>
      </c>
      <c r="I11" s="43" t="s">
        <v>31</v>
      </c>
      <c r="J11" s="43" t="s">
        <v>46</v>
      </c>
      <c r="K11" s="43" t="s">
        <v>147</v>
      </c>
      <c r="L11" s="44">
        <v>115604.57</v>
      </c>
      <c r="M11" s="44">
        <v>74494.720000000001</v>
      </c>
      <c r="N11" s="43"/>
      <c r="O11" s="45" t="s">
        <v>18</v>
      </c>
    </row>
    <row r="12" spans="1:15" ht="15.75" customHeight="1" x14ac:dyDescent="0.3">
      <c r="A12" s="40" t="s">
        <v>148</v>
      </c>
      <c r="B12" s="40" t="s">
        <v>149</v>
      </c>
      <c r="C12" s="40">
        <v>30</v>
      </c>
      <c r="D12" s="40" t="s">
        <v>120</v>
      </c>
      <c r="E12" s="41">
        <v>36.1</v>
      </c>
      <c r="F12" s="40" t="s">
        <v>128</v>
      </c>
      <c r="G12" s="40">
        <v>1</v>
      </c>
      <c r="H12" s="40" t="s">
        <v>61</v>
      </c>
      <c r="I12" s="40" t="s">
        <v>28</v>
      </c>
      <c r="J12" s="40" t="s">
        <v>40</v>
      </c>
      <c r="K12" s="40" t="s">
        <v>150</v>
      </c>
      <c r="L12" s="41">
        <v>72317.78</v>
      </c>
      <c r="M12" s="41">
        <v>44731.93</v>
      </c>
      <c r="N12" s="40" t="s">
        <v>73</v>
      </c>
      <c r="O12" s="42" t="s">
        <v>16</v>
      </c>
    </row>
    <row r="13" spans="1:15" ht="15.75" customHeight="1" x14ac:dyDescent="0.3">
      <c r="A13" s="43" t="s">
        <v>151</v>
      </c>
      <c r="B13" s="43" t="s">
        <v>152</v>
      </c>
      <c r="C13" s="43">
        <v>39</v>
      </c>
      <c r="D13" s="43" t="s">
        <v>124</v>
      </c>
      <c r="E13" s="44">
        <v>15.5</v>
      </c>
      <c r="F13" s="43" t="s">
        <v>128</v>
      </c>
      <c r="G13" s="43">
        <v>0</v>
      </c>
      <c r="H13" s="43" t="s">
        <v>61</v>
      </c>
      <c r="I13" s="43" t="s">
        <v>28</v>
      </c>
      <c r="J13" s="43" t="s">
        <v>48</v>
      </c>
      <c r="K13" s="43" t="s">
        <v>153</v>
      </c>
      <c r="L13" s="44">
        <v>33963.68</v>
      </c>
      <c r="M13" s="44">
        <v>17951.599999999999</v>
      </c>
      <c r="N13" s="43"/>
      <c r="O13" s="42" t="s">
        <v>16</v>
      </c>
    </row>
    <row r="14" spans="1:15" ht="15.75" customHeight="1" x14ac:dyDescent="0.3">
      <c r="A14" s="40" t="s">
        <v>154</v>
      </c>
      <c r="B14" s="40" t="s">
        <v>155</v>
      </c>
      <c r="C14" s="40">
        <v>58</v>
      </c>
      <c r="D14" s="40" t="s">
        <v>115</v>
      </c>
      <c r="E14" s="41">
        <v>45.9</v>
      </c>
      <c r="F14" s="40" t="s">
        <v>128</v>
      </c>
      <c r="G14" s="40">
        <v>3</v>
      </c>
      <c r="H14" s="40" t="s">
        <v>61</v>
      </c>
      <c r="I14" s="40" t="s">
        <v>28</v>
      </c>
      <c r="J14" s="40" t="s">
        <v>42</v>
      </c>
      <c r="K14" s="40" t="s">
        <v>156</v>
      </c>
      <c r="L14" s="41">
        <v>107731.97</v>
      </c>
      <c r="M14" s="41">
        <v>103484.02</v>
      </c>
      <c r="N14" s="40"/>
      <c r="O14" s="42" t="s">
        <v>16</v>
      </c>
    </row>
    <row r="15" spans="1:15" ht="15.75" customHeight="1" x14ac:dyDescent="0.3">
      <c r="A15" s="43" t="s">
        <v>157</v>
      </c>
      <c r="B15" s="43" t="s">
        <v>158</v>
      </c>
      <c r="C15" s="43">
        <v>32</v>
      </c>
      <c r="D15" s="43" t="s">
        <v>115</v>
      </c>
      <c r="E15" s="44">
        <v>43.3</v>
      </c>
      <c r="F15" s="43" t="s">
        <v>116</v>
      </c>
      <c r="G15" s="43">
        <v>3</v>
      </c>
      <c r="H15" s="43" t="s">
        <v>57</v>
      </c>
      <c r="I15" s="43" t="s">
        <v>31</v>
      </c>
      <c r="J15" s="43" t="s">
        <v>46</v>
      </c>
      <c r="K15" s="43" t="s">
        <v>159</v>
      </c>
      <c r="L15" s="44">
        <v>21405.73</v>
      </c>
      <c r="M15" s="44">
        <v>16358.47</v>
      </c>
      <c r="N15" s="43" t="s">
        <v>73</v>
      </c>
      <c r="O15" s="46" t="s">
        <v>17</v>
      </c>
    </row>
    <row r="16" spans="1:15" ht="15.75" customHeight="1" x14ac:dyDescent="0.3">
      <c r="A16" s="40" t="s">
        <v>160</v>
      </c>
      <c r="B16" s="40" t="s">
        <v>161</v>
      </c>
      <c r="C16" s="40">
        <v>23</v>
      </c>
      <c r="D16" s="40" t="s">
        <v>124</v>
      </c>
      <c r="E16" s="41">
        <v>34.799999999999997</v>
      </c>
      <c r="F16" s="40" t="s">
        <v>116</v>
      </c>
      <c r="G16" s="40">
        <v>0</v>
      </c>
      <c r="H16" s="40" t="s">
        <v>61</v>
      </c>
      <c r="I16" s="40" t="s">
        <v>29</v>
      </c>
      <c r="J16" s="40" t="s">
        <v>42</v>
      </c>
      <c r="K16" s="40" t="s">
        <v>162</v>
      </c>
      <c r="L16" s="41">
        <v>72373.97</v>
      </c>
      <c r="M16" s="41">
        <v>65272.84</v>
      </c>
      <c r="N16" s="40" t="s">
        <v>74</v>
      </c>
      <c r="O16" s="46" t="s">
        <v>17</v>
      </c>
    </row>
    <row r="17" spans="1:15" ht="15.75" customHeight="1" x14ac:dyDescent="0.3">
      <c r="A17" s="43" t="s">
        <v>163</v>
      </c>
      <c r="B17" s="43" t="s">
        <v>164</v>
      </c>
      <c r="C17" s="43">
        <v>74</v>
      </c>
      <c r="D17" s="43" t="s">
        <v>124</v>
      </c>
      <c r="E17" s="44">
        <v>18.399999999999999</v>
      </c>
      <c r="F17" s="43" t="s">
        <v>116</v>
      </c>
      <c r="G17" s="43">
        <v>1</v>
      </c>
      <c r="H17" s="43" t="s">
        <v>57</v>
      </c>
      <c r="I17" s="43" t="s">
        <v>30</v>
      </c>
      <c r="J17" s="43" t="s">
        <v>46</v>
      </c>
      <c r="K17" s="43" t="s">
        <v>165</v>
      </c>
      <c r="L17" s="44">
        <v>21821.72</v>
      </c>
      <c r="M17" s="44">
        <v>12865.03</v>
      </c>
      <c r="N17" s="43"/>
      <c r="O17" s="46" t="s">
        <v>17</v>
      </c>
    </row>
    <row r="18" spans="1:15" ht="15.75" customHeight="1" x14ac:dyDescent="0.3">
      <c r="A18" s="40" t="s">
        <v>166</v>
      </c>
      <c r="B18" s="40" t="s">
        <v>167</v>
      </c>
      <c r="C18" s="40">
        <v>20</v>
      </c>
      <c r="D18" s="40" t="s">
        <v>115</v>
      </c>
      <c r="E18" s="41">
        <v>38.799999999999997</v>
      </c>
      <c r="F18" s="40" t="s">
        <v>116</v>
      </c>
      <c r="G18" s="40">
        <v>0</v>
      </c>
      <c r="H18" s="40" t="s">
        <v>65</v>
      </c>
      <c r="I18" s="40" t="s">
        <v>28</v>
      </c>
      <c r="J18" s="40" t="s">
        <v>40</v>
      </c>
      <c r="K18" s="40" t="s">
        <v>168</v>
      </c>
      <c r="L18" s="41">
        <v>55678.37</v>
      </c>
      <c r="M18" s="41">
        <v>53821.66</v>
      </c>
      <c r="N18" s="40" t="s">
        <v>75</v>
      </c>
      <c r="O18" s="42" t="s">
        <v>16</v>
      </c>
    </row>
    <row r="19" spans="1:15" ht="15.75" customHeight="1" x14ac:dyDescent="0.3">
      <c r="A19" s="43" t="s">
        <v>169</v>
      </c>
      <c r="B19" s="43" t="s">
        <v>170</v>
      </c>
      <c r="C19" s="43">
        <v>46</v>
      </c>
      <c r="D19" s="43" t="s">
        <v>120</v>
      </c>
      <c r="E19" s="44">
        <v>43.3</v>
      </c>
      <c r="F19" s="43" t="s">
        <v>116</v>
      </c>
      <c r="G19" s="43">
        <v>0</v>
      </c>
      <c r="H19" s="43" t="s">
        <v>61</v>
      </c>
      <c r="I19" s="43" t="s">
        <v>31</v>
      </c>
      <c r="J19" s="43" t="s">
        <v>48</v>
      </c>
      <c r="K19" s="43" t="s">
        <v>171</v>
      </c>
      <c r="L19" s="44">
        <v>18894.400000000001</v>
      </c>
      <c r="M19" s="44">
        <v>11647.58</v>
      </c>
      <c r="N19" s="43" t="s">
        <v>75</v>
      </c>
      <c r="O19" s="42" t="s">
        <v>16</v>
      </c>
    </row>
    <row r="20" spans="1:15" ht="15.75" customHeight="1" x14ac:dyDescent="0.3">
      <c r="A20" s="40" t="s">
        <v>172</v>
      </c>
      <c r="B20" s="40" t="s">
        <v>173</v>
      </c>
      <c r="C20" s="40">
        <v>59</v>
      </c>
      <c r="D20" s="40" t="s">
        <v>124</v>
      </c>
      <c r="E20" s="41">
        <v>45.4</v>
      </c>
      <c r="F20" s="40" t="s">
        <v>128</v>
      </c>
      <c r="G20" s="40">
        <v>4</v>
      </c>
      <c r="H20" s="40" t="s">
        <v>65</v>
      </c>
      <c r="I20" s="40" t="s">
        <v>28</v>
      </c>
      <c r="J20" s="40" t="s">
        <v>44</v>
      </c>
      <c r="K20" s="40" t="s">
        <v>174</v>
      </c>
      <c r="L20" s="41">
        <v>118872.67</v>
      </c>
      <c r="M20" s="41">
        <v>69249.39</v>
      </c>
      <c r="N20" s="40" t="s">
        <v>74</v>
      </c>
      <c r="O20" s="42" t="s">
        <v>16</v>
      </c>
    </row>
    <row r="21" spans="1:15" ht="15.75" customHeight="1" x14ac:dyDescent="0.3">
      <c r="A21" s="43" t="s">
        <v>175</v>
      </c>
      <c r="B21" s="43" t="s">
        <v>176</v>
      </c>
      <c r="C21" s="43">
        <v>79</v>
      </c>
      <c r="D21" s="43" t="s">
        <v>124</v>
      </c>
      <c r="E21" s="44">
        <v>37</v>
      </c>
      <c r="F21" s="43" t="s">
        <v>116</v>
      </c>
      <c r="G21" s="43">
        <v>0</v>
      </c>
      <c r="H21" s="43" t="s">
        <v>57</v>
      </c>
      <c r="I21" s="43" t="s">
        <v>29</v>
      </c>
      <c r="J21" s="43" t="s">
        <v>48</v>
      </c>
      <c r="K21" s="43" t="s">
        <v>177</v>
      </c>
      <c r="L21" s="44">
        <v>20751.36</v>
      </c>
      <c r="M21" s="44">
        <v>16316.73</v>
      </c>
      <c r="N21" s="43" t="s">
        <v>73</v>
      </c>
      <c r="O21" s="46" t="s">
        <v>17</v>
      </c>
    </row>
    <row r="22" spans="1:15" ht="15.75" customHeight="1" x14ac:dyDescent="0.3">
      <c r="A22" s="40" t="s">
        <v>178</v>
      </c>
      <c r="B22" s="40" t="s">
        <v>179</v>
      </c>
      <c r="C22" s="40">
        <v>84</v>
      </c>
      <c r="D22" s="40" t="s">
        <v>115</v>
      </c>
      <c r="E22" s="41">
        <v>23.3</v>
      </c>
      <c r="F22" s="40" t="s">
        <v>128</v>
      </c>
      <c r="G22" s="40">
        <v>1</v>
      </c>
      <c r="H22" s="40" t="s">
        <v>59</v>
      </c>
      <c r="I22" s="40" t="s">
        <v>28</v>
      </c>
      <c r="J22" s="40" t="s">
        <v>48</v>
      </c>
      <c r="K22" s="40" t="s">
        <v>180</v>
      </c>
      <c r="L22" s="41">
        <v>72291.44</v>
      </c>
      <c r="M22" s="41">
        <v>39855.120000000003</v>
      </c>
      <c r="N22" s="40"/>
      <c r="O22" s="45" t="s">
        <v>18</v>
      </c>
    </row>
    <row r="23" spans="1:15" ht="15.75" customHeight="1" x14ac:dyDescent="0.3">
      <c r="A23" s="43" t="s">
        <v>181</v>
      </c>
      <c r="B23" s="43" t="s">
        <v>182</v>
      </c>
      <c r="C23" s="43">
        <v>27</v>
      </c>
      <c r="D23" s="43" t="s">
        <v>124</v>
      </c>
      <c r="E23" s="44">
        <v>48.6</v>
      </c>
      <c r="F23" s="43" t="s">
        <v>116</v>
      </c>
      <c r="G23" s="43">
        <v>1</v>
      </c>
      <c r="H23" s="43" t="s">
        <v>63</v>
      </c>
      <c r="I23" s="43" t="s">
        <v>31</v>
      </c>
      <c r="J23" s="43" t="s">
        <v>46</v>
      </c>
      <c r="K23" s="43" t="s">
        <v>183</v>
      </c>
      <c r="L23" s="44">
        <v>35610.86</v>
      </c>
      <c r="M23" s="44">
        <v>30674.12</v>
      </c>
      <c r="N23" s="43" t="s">
        <v>73</v>
      </c>
      <c r="O23" s="46" t="s">
        <v>17</v>
      </c>
    </row>
    <row r="24" spans="1:15" ht="15.75" customHeight="1" x14ac:dyDescent="0.3">
      <c r="A24" s="40" t="s">
        <v>184</v>
      </c>
      <c r="B24" s="40" t="s">
        <v>185</v>
      </c>
      <c r="C24" s="40">
        <v>26</v>
      </c>
      <c r="D24" s="40" t="s">
        <v>124</v>
      </c>
      <c r="E24" s="41">
        <v>34.200000000000003</v>
      </c>
      <c r="F24" s="40" t="s">
        <v>128</v>
      </c>
      <c r="G24" s="40">
        <v>2</v>
      </c>
      <c r="H24" s="40" t="s">
        <v>63</v>
      </c>
      <c r="I24" s="40" t="s">
        <v>30</v>
      </c>
      <c r="J24" s="40" t="s">
        <v>50</v>
      </c>
      <c r="K24" s="40" t="s">
        <v>186</v>
      </c>
      <c r="L24" s="41">
        <v>111094.07</v>
      </c>
      <c r="M24" s="41">
        <v>107394.39</v>
      </c>
      <c r="N24" s="40" t="s">
        <v>75</v>
      </c>
      <c r="O24" s="42" t="s">
        <v>16</v>
      </c>
    </row>
    <row r="25" spans="1:15" ht="15.75" customHeight="1" x14ac:dyDescent="0.3">
      <c r="A25" s="43" t="s">
        <v>187</v>
      </c>
      <c r="B25" s="43" t="s">
        <v>188</v>
      </c>
      <c r="C25" s="43">
        <v>84</v>
      </c>
      <c r="D25" s="43" t="s">
        <v>115</v>
      </c>
      <c r="E25" s="44">
        <v>18</v>
      </c>
      <c r="F25" s="43" t="s">
        <v>116</v>
      </c>
      <c r="G25" s="43">
        <v>3</v>
      </c>
      <c r="H25" s="43" t="s">
        <v>63</v>
      </c>
      <c r="I25" s="43" t="s">
        <v>29</v>
      </c>
      <c r="J25" s="43" t="s">
        <v>49</v>
      </c>
      <c r="K25" s="43" t="s">
        <v>189</v>
      </c>
      <c r="L25" s="44">
        <v>109478.53</v>
      </c>
      <c r="M25" s="44">
        <v>87052.13</v>
      </c>
      <c r="N25" s="43" t="s">
        <v>73</v>
      </c>
      <c r="O25" s="46" t="s">
        <v>17</v>
      </c>
    </row>
    <row r="26" spans="1:15" ht="15.75" customHeight="1" x14ac:dyDescent="0.3">
      <c r="A26" s="40" t="s">
        <v>190</v>
      </c>
      <c r="B26" s="40" t="s">
        <v>191</v>
      </c>
      <c r="C26" s="40">
        <v>84</v>
      </c>
      <c r="D26" s="40" t="s">
        <v>115</v>
      </c>
      <c r="E26" s="41">
        <v>48.5</v>
      </c>
      <c r="F26" s="40" t="s">
        <v>116</v>
      </c>
      <c r="G26" s="40">
        <v>0</v>
      </c>
      <c r="H26" s="40" t="s">
        <v>61</v>
      </c>
      <c r="I26" s="40" t="s">
        <v>32</v>
      </c>
      <c r="J26" s="40" t="s">
        <v>42</v>
      </c>
      <c r="K26" s="40" t="s">
        <v>192</v>
      </c>
      <c r="L26" s="41">
        <v>103469.54</v>
      </c>
      <c r="M26" s="41">
        <v>89225.88</v>
      </c>
      <c r="N26" s="40" t="s">
        <v>74</v>
      </c>
      <c r="O26" s="46" t="s">
        <v>17</v>
      </c>
    </row>
    <row r="27" spans="1:15" ht="15.75" customHeight="1" x14ac:dyDescent="0.3">
      <c r="A27" s="43" t="s">
        <v>193</v>
      </c>
      <c r="B27" s="43" t="s">
        <v>194</v>
      </c>
      <c r="C27" s="43">
        <v>34</v>
      </c>
      <c r="D27" s="43" t="s">
        <v>124</v>
      </c>
      <c r="E27" s="44">
        <v>47.3</v>
      </c>
      <c r="F27" s="43" t="s">
        <v>128</v>
      </c>
      <c r="G27" s="43">
        <v>3</v>
      </c>
      <c r="H27" s="43" t="s">
        <v>63</v>
      </c>
      <c r="I27" s="43" t="s">
        <v>32</v>
      </c>
      <c r="J27" s="43" t="s">
        <v>40</v>
      </c>
      <c r="K27" s="43" t="s">
        <v>195</v>
      </c>
      <c r="L27" s="44">
        <v>72936.78</v>
      </c>
      <c r="M27" s="44">
        <v>51324.74</v>
      </c>
      <c r="N27" s="43"/>
      <c r="O27" s="45" t="s">
        <v>18</v>
      </c>
    </row>
    <row r="28" spans="1:15" ht="15.75" customHeight="1" x14ac:dyDescent="0.3">
      <c r="A28" s="40" t="s">
        <v>196</v>
      </c>
      <c r="B28" s="40" t="s">
        <v>197</v>
      </c>
      <c r="C28" s="40">
        <v>51</v>
      </c>
      <c r="D28" s="40" t="s">
        <v>124</v>
      </c>
      <c r="E28" s="41">
        <v>23.7</v>
      </c>
      <c r="F28" s="40" t="s">
        <v>128</v>
      </c>
      <c r="G28" s="40">
        <v>1</v>
      </c>
      <c r="H28" s="40" t="s">
        <v>65</v>
      </c>
      <c r="I28" s="40" t="s">
        <v>31</v>
      </c>
      <c r="J28" s="40" t="s">
        <v>47</v>
      </c>
      <c r="K28" s="40" t="s">
        <v>198</v>
      </c>
      <c r="L28" s="41">
        <v>45463.19</v>
      </c>
      <c r="M28" s="41">
        <v>33928.9</v>
      </c>
      <c r="N28" s="40" t="s">
        <v>73</v>
      </c>
      <c r="O28" s="42" t="s">
        <v>16</v>
      </c>
    </row>
    <row r="29" spans="1:15" ht="15.75" customHeight="1" x14ac:dyDescent="0.3">
      <c r="A29" s="43" t="s">
        <v>199</v>
      </c>
      <c r="B29" s="43" t="s">
        <v>200</v>
      </c>
      <c r="C29" s="43">
        <v>50</v>
      </c>
      <c r="D29" s="43" t="s">
        <v>124</v>
      </c>
      <c r="E29" s="44">
        <v>15.8</v>
      </c>
      <c r="F29" s="43" t="s">
        <v>128</v>
      </c>
      <c r="G29" s="43">
        <v>1</v>
      </c>
      <c r="H29" s="43" t="s">
        <v>61</v>
      </c>
      <c r="I29" s="43" t="s">
        <v>32</v>
      </c>
      <c r="J29" s="43" t="s">
        <v>48</v>
      </c>
      <c r="K29" s="43" t="s">
        <v>201</v>
      </c>
      <c r="L29" s="44">
        <v>78462.33</v>
      </c>
      <c r="M29" s="44">
        <v>46394.48</v>
      </c>
      <c r="N29" s="43"/>
      <c r="O29" s="42" t="s">
        <v>16</v>
      </c>
    </row>
    <row r="30" spans="1:15" ht="15.75" customHeight="1" x14ac:dyDescent="0.3">
      <c r="A30" s="40" t="s">
        <v>202</v>
      </c>
      <c r="B30" s="40" t="s">
        <v>203</v>
      </c>
      <c r="C30" s="40">
        <v>72</v>
      </c>
      <c r="D30" s="40" t="s">
        <v>115</v>
      </c>
      <c r="E30" s="41">
        <v>21.9</v>
      </c>
      <c r="F30" s="40" t="s">
        <v>116</v>
      </c>
      <c r="G30" s="40">
        <v>2</v>
      </c>
      <c r="H30" s="40" t="s">
        <v>57</v>
      </c>
      <c r="I30" s="40" t="s">
        <v>31</v>
      </c>
      <c r="J30" s="40" t="s">
        <v>40</v>
      </c>
      <c r="K30" s="40" t="s">
        <v>204</v>
      </c>
      <c r="L30" s="41">
        <v>10684.75</v>
      </c>
      <c r="M30" s="41">
        <v>7464</v>
      </c>
      <c r="N30" s="40"/>
      <c r="O30" s="45" t="s">
        <v>18</v>
      </c>
    </row>
    <row r="31" spans="1:15" ht="15.75" customHeight="1" x14ac:dyDescent="0.3">
      <c r="A31" s="43" t="s">
        <v>205</v>
      </c>
      <c r="B31" s="43" t="s">
        <v>206</v>
      </c>
      <c r="C31" s="43">
        <v>74</v>
      </c>
      <c r="D31" s="43" t="s">
        <v>120</v>
      </c>
      <c r="E31" s="44">
        <v>34.4</v>
      </c>
      <c r="F31" s="43" t="s">
        <v>128</v>
      </c>
      <c r="G31" s="43">
        <v>4</v>
      </c>
      <c r="H31" s="43" t="s">
        <v>57</v>
      </c>
      <c r="I31" s="43" t="s">
        <v>30</v>
      </c>
      <c r="J31" s="43" t="s">
        <v>48</v>
      </c>
      <c r="K31" s="43" t="s">
        <v>207</v>
      </c>
      <c r="L31" s="44">
        <v>1781.04</v>
      </c>
      <c r="M31" s="44">
        <v>1396.7</v>
      </c>
      <c r="N31" s="43"/>
      <c r="O31" s="42" t="s">
        <v>16</v>
      </c>
    </row>
    <row r="32" spans="1:15" ht="15.75" customHeight="1" x14ac:dyDescent="0.3">
      <c r="A32" s="40" t="s">
        <v>208</v>
      </c>
      <c r="B32" s="40" t="s">
        <v>209</v>
      </c>
      <c r="C32" s="40">
        <v>58</v>
      </c>
      <c r="D32" s="40" t="s">
        <v>124</v>
      </c>
      <c r="E32" s="41">
        <v>15.8</v>
      </c>
      <c r="F32" s="40" t="s">
        <v>116</v>
      </c>
      <c r="G32" s="40">
        <v>1</v>
      </c>
      <c r="H32" s="40" t="s">
        <v>59</v>
      </c>
      <c r="I32" s="40" t="s">
        <v>30</v>
      </c>
      <c r="J32" s="40" t="s">
        <v>49</v>
      </c>
      <c r="K32" s="40" t="s">
        <v>210</v>
      </c>
      <c r="L32" s="41">
        <v>58599.1</v>
      </c>
      <c r="M32" s="41">
        <v>39181.86</v>
      </c>
      <c r="N32" s="40"/>
      <c r="O32" s="42" t="s">
        <v>16</v>
      </c>
    </row>
    <row r="33" spans="1:15" ht="15.75" customHeight="1" x14ac:dyDescent="0.3">
      <c r="A33" s="43" t="s">
        <v>211</v>
      </c>
      <c r="B33" s="43" t="s">
        <v>212</v>
      </c>
      <c r="C33" s="43">
        <v>70</v>
      </c>
      <c r="D33" s="43" t="s">
        <v>115</v>
      </c>
      <c r="E33" s="44">
        <v>49.1</v>
      </c>
      <c r="F33" s="43" t="s">
        <v>128</v>
      </c>
      <c r="G33" s="43">
        <v>3</v>
      </c>
      <c r="H33" s="43" t="s">
        <v>63</v>
      </c>
      <c r="I33" s="43" t="s">
        <v>29</v>
      </c>
      <c r="J33" s="43" t="s">
        <v>50</v>
      </c>
      <c r="K33" s="43" t="s">
        <v>213</v>
      </c>
      <c r="L33" s="44">
        <v>46382.71</v>
      </c>
      <c r="M33" s="44">
        <v>38339.08</v>
      </c>
      <c r="N33" s="43"/>
      <c r="O33" s="46" t="s">
        <v>17</v>
      </c>
    </row>
    <row r="34" spans="1:15" ht="15.75" customHeight="1" x14ac:dyDescent="0.3">
      <c r="A34" s="40" t="s">
        <v>214</v>
      </c>
      <c r="B34" s="40" t="s">
        <v>215</v>
      </c>
      <c r="C34" s="40">
        <v>43</v>
      </c>
      <c r="D34" s="40" t="s">
        <v>124</v>
      </c>
      <c r="E34" s="41">
        <v>20.8</v>
      </c>
      <c r="F34" s="40" t="s">
        <v>116</v>
      </c>
      <c r="G34" s="40">
        <v>0</v>
      </c>
      <c r="H34" s="40" t="s">
        <v>63</v>
      </c>
      <c r="I34" s="40" t="s">
        <v>29</v>
      </c>
      <c r="J34" s="40" t="s">
        <v>47</v>
      </c>
      <c r="K34" s="40" t="s">
        <v>216</v>
      </c>
      <c r="L34" s="41">
        <v>103928.9</v>
      </c>
      <c r="M34" s="41">
        <v>75342.84</v>
      </c>
      <c r="N34" s="40"/>
      <c r="O34" s="46" t="s">
        <v>17</v>
      </c>
    </row>
    <row r="35" spans="1:15" ht="15.75" customHeight="1" x14ac:dyDescent="0.3">
      <c r="A35" s="43" t="s">
        <v>217</v>
      </c>
      <c r="B35" s="43" t="s">
        <v>218</v>
      </c>
      <c r="C35" s="43">
        <v>57</v>
      </c>
      <c r="D35" s="43" t="s">
        <v>115</v>
      </c>
      <c r="E35" s="44">
        <v>47.9</v>
      </c>
      <c r="F35" s="43" t="s">
        <v>116</v>
      </c>
      <c r="G35" s="43">
        <v>3</v>
      </c>
      <c r="H35" s="43" t="s">
        <v>63</v>
      </c>
      <c r="I35" s="43" t="s">
        <v>32</v>
      </c>
      <c r="J35" s="43" t="s">
        <v>40</v>
      </c>
      <c r="K35" s="43" t="s">
        <v>219</v>
      </c>
      <c r="L35" s="44">
        <v>86075.83</v>
      </c>
      <c r="M35" s="44">
        <v>66911.44</v>
      </c>
      <c r="N35" s="43"/>
      <c r="O35" s="45" t="s">
        <v>18</v>
      </c>
    </row>
    <row r="36" spans="1:15" ht="15.75" customHeight="1" x14ac:dyDescent="0.3">
      <c r="A36" s="40" t="s">
        <v>220</v>
      </c>
      <c r="B36" s="40" t="s">
        <v>221</v>
      </c>
      <c r="C36" s="40">
        <v>26</v>
      </c>
      <c r="D36" s="40" t="s">
        <v>120</v>
      </c>
      <c r="E36" s="41">
        <v>41.4</v>
      </c>
      <c r="F36" s="40" t="s">
        <v>128</v>
      </c>
      <c r="G36" s="40">
        <v>2</v>
      </c>
      <c r="H36" s="40" t="s">
        <v>59</v>
      </c>
      <c r="I36" s="40" t="s">
        <v>28</v>
      </c>
      <c r="J36" s="40" t="s">
        <v>48</v>
      </c>
      <c r="K36" s="40" t="s">
        <v>222</v>
      </c>
      <c r="L36" s="41">
        <v>109682.36</v>
      </c>
      <c r="M36" s="41">
        <v>56174.63</v>
      </c>
      <c r="N36" s="40"/>
      <c r="O36" s="42" t="s">
        <v>16</v>
      </c>
    </row>
    <row r="37" spans="1:15" ht="15.75" customHeight="1" x14ac:dyDescent="0.3">
      <c r="A37" s="43" t="s">
        <v>223</v>
      </c>
      <c r="B37" s="43" t="s">
        <v>224</v>
      </c>
      <c r="C37" s="43">
        <v>29</v>
      </c>
      <c r="D37" s="43" t="s">
        <v>115</v>
      </c>
      <c r="E37" s="44">
        <v>49.4</v>
      </c>
      <c r="F37" s="43" t="s">
        <v>128</v>
      </c>
      <c r="G37" s="43">
        <v>2</v>
      </c>
      <c r="H37" s="43" t="s">
        <v>63</v>
      </c>
      <c r="I37" s="43" t="s">
        <v>30</v>
      </c>
      <c r="J37" s="43" t="s">
        <v>40</v>
      </c>
      <c r="K37" s="43" t="s">
        <v>225</v>
      </c>
      <c r="L37" s="44">
        <v>10200.44</v>
      </c>
      <c r="M37" s="44">
        <v>9564.7800000000007</v>
      </c>
      <c r="N37" s="43" t="s">
        <v>75</v>
      </c>
      <c r="O37" s="42" t="s">
        <v>16</v>
      </c>
    </row>
    <row r="38" spans="1:15" ht="15.75" customHeight="1" x14ac:dyDescent="0.3">
      <c r="A38" s="40" t="s">
        <v>226</v>
      </c>
      <c r="B38" s="40" t="s">
        <v>227</v>
      </c>
      <c r="C38" s="40">
        <v>60</v>
      </c>
      <c r="D38" s="40" t="s">
        <v>115</v>
      </c>
      <c r="E38" s="41">
        <v>17.399999999999999</v>
      </c>
      <c r="F38" s="40" t="s">
        <v>128</v>
      </c>
      <c r="G38" s="40">
        <v>0</v>
      </c>
      <c r="H38" s="40" t="s">
        <v>59</v>
      </c>
      <c r="I38" s="40" t="s">
        <v>29</v>
      </c>
      <c r="J38" s="40" t="s">
        <v>50</v>
      </c>
      <c r="K38" s="40" t="s">
        <v>228</v>
      </c>
      <c r="L38" s="41">
        <v>85839.1</v>
      </c>
      <c r="M38" s="41">
        <v>49329.45</v>
      </c>
      <c r="N38" s="40" t="s">
        <v>73</v>
      </c>
      <c r="O38" s="42" t="s">
        <v>16</v>
      </c>
    </row>
    <row r="39" spans="1:15" ht="15.75" customHeight="1" x14ac:dyDescent="0.3">
      <c r="A39" s="43" t="s">
        <v>229</v>
      </c>
      <c r="B39" s="43" t="s">
        <v>230</v>
      </c>
      <c r="C39" s="43">
        <v>22</v>
      </c>
      <c r="D39" s="43" t="s">
        <v>120</v>
      </c>
      <c r="E39" s="44"/>
      <c r="F39" s="43" t="s">
        <v>128</v>
      </c>
      <c r="G39" s="43">
        <v>1</v>
      </c>
      <c r="H39" s="43" t="s">
        <v>59</v>
      </c>
      <c r="I39" s="43" t="s">
        <v>32</v>
      </c>
      <c r="J39" s="43" t="s">
        <v>49</v>
      </c>
      <c r="K39" s="43" t="s">
        <v>231</v>
      </c>
      <c r="L39" s="44">
        <v>64347.32</v>
      </c>
      <c r="M39" s="44">
        <v>57489.99</v>
      </c>
      <c r="N39" s="43" t="s">
        <v>73</v>
      </c>
      <c r="O39" s="42" t="s">
        <v>16</v>
      </c>
    </row>
    <row r="40" spans="1:15" ht="15.75" customHeight="1" x14ac:dyDescent="0.3">
      <c r="A40" s="40" t="s">
        <v>232</v>
      </c>
      <c r="B40" s="40" t="s">
        <v>233</v>
      </c>
      <c r="C40" s="40">
        <v>82</v>
      </c>
      <c r="D40" s="40" t="s">
        <v>120</v>
      </c>
      <c r="E40" s="41">
        <v>48.1</v>
      </c>
      <c r="F40" s="40" t="s">
        <v>116</v>
      </c>
      <c r="G40" s="40">
        <v>0</v>
      </c>
      <c r="H40" s="40" t="s">
        <v>63</v>
      </c>
      <c r="I40" s="40" t="s">
        <v>30</v>
      </c>
      <c r="J40" s="40" t="s">
        <v>50</v>
      </c>
      <c r="K40" s="40" t="s">
        <v>234</v>
      </c>
      <c r="L40" s="41">
        <v>531.67999999999995</v>
      </c>
      <c r="M40" s="41">
        <v>460.21</v>
      </c>
      <c r="N40" s="40"/>
      <c r="O40" s="46" t="s">
        <v>17</v>
      </c>
    </row>
    <row r="41" spans="1:15" ht="15.75" customHeight="1" x14ac:dyDescent="0.3">
      <c r="A41" s="43" t="s">
        <v>235</v>
      </c>
      <c r="B41" s="43" t="s">
        <v>236</v>
      </c>
      <c r="C41" s="43">
        <v>22</v>
      </c>
      <c r="D41" s="43" t="s">
        <v>124</v>
      </c>
      <c r="E41" s="44">
        <v>16</v>
      </c>
      <c r="F41" s="43" t="s">
        <v>116</v>
      </c>
      <c r="G41" s="43">
        <v>0</v>
      </c>
      <c r="H41" s="43" t="s">
        <v>65</v>
      </c>
      <c r="I41" s="43" t="s">
        <v>29</v>
      </c>
      <c r="J41" s="43" t="s">
        <v>47</v>
      </c>
      <c r="K41" s="43" t="s">
        <v>237</v>
      </c>
      <c r="L41" s="44">
        <v>7039.02</v>
      </c>
      <c r="M41" s="44">
        <v>5176.54</v>
      </c>
      <c r="N41" s="43"/>
      <c r="O41" s="42" t="s">
        <v>16</v>
      </c>
    </row>
    <row r="42" spans="1:15" ht="15.75" customHeight="1" x14ac:dyDescent="0.3">
      <c r="A42" s="40" t="s">
        <v>238</v>
      </c>
      <c r="B42" s="40" t="s">
        <v>239</v>
      </c>
      <c r="C42" s="40">
        <v>38</v>
      </c>
      <c r="D42" s="40" t="s">
        <v>120</v>
      </c>
      <c r="E42" s="41">
        <v>22.4</v>
      </c>
      <c r="F42" s="40" t="s">
        <v>116</v>
      </c>
      <c r="G42" s="40">
        <v>2</v>
      </c>
      <c r="H42" s="40" t="s">
        <v>59</v>
      </c>
      <c r="I42" s="40" t="s">
        <v>32</v>
      </c>
      <c r="J42" s="40" t="s">
        <v>40</v>
      </c>
      <c r="K42" s="40" t="s">
        <v>240</v>
      </c>
      <c r="L42" s="41">
        <v>117538.38</v>
      </c>
      <c r="M42" s="41">
        <v>62621.15</v>
      </c>
      <c r="N42" s="40" t="s">
        <v>73</v>
      </c>
      <c r="O42" s="42" t="s">
        <v>16</v>
      </c>
    </row>
    <row r="43" spans="1:15" ht="15.75" customHeight="1" x14ac:dyDescent="0.3">
      <c r="A43" s="43" t="s">
        <v>241</v>
      </c>
      <c r="B43" s="43" t="s">
        <v>242</v>
      </c>
      <c r="C43" s="43">
        <v>51</v>
      </c>
      <c r="D43" s="43" t="s">
        <v>120</v>
      </c>
      <c r="E43" s="44">
        <v>22.3</v>
      </c>
      <c r="F43" s="43" t="s">
        <v>116</v>
      </c>
      <c r="G43" s="43">
        <v>1</v>
      </c>
      <c r="H43" s="43" t="s">
        <v>63</v>
      </c>
      <c r="I43" s="43" t="s">
        <v>30</v>
      </c>
      <c r="J43" s="43" t="s">
        <v>46</v>
      </c>
      <c r="K43" s="43" t="s">
        <v>243</v>
      </c>
      <c r="L43" s="44">
        <v>29771.69</v>
      </c>
      <c r="M43" s="44">
        <v>23262.85</v>
      </c>
      <c r="N43" s="43"/>
      <c r="O43" s="42" t="s">
        <v>16</v>
      </c>
    </row>
    <row r="44" spans="1:15" ht="15.75" customHeight="1" x14ac:dyDescent="0.3">
      <c r="A44" s="40" t="s">
        <v>244</v>
      </c>
      <c r="B44" s="40" t="s">
        <v>245</v>
      </c>
      <c r="C44" s="40">
        <v>47</v>
      </c>
      <c r="D44" s="40" t="s">
        <v>120</v>
      </c>
      <c r="E44" s="41">
        <v>33.4</v>
      </c>
      <c r="F44" s="40" t="s">
        <v>116</v>
      </c>
      <c r="G44" s="40">
        <v>1</v>
      </c>
      <c r="H44" s="40" t="s">
        <v>57</v>
      </c>
      <c r="I44" s="40" t="s">
        <v>32</v>
      </c>
      <c r="J44" s="40" t="s">
        <v>44</v>
      </c>
      <c r="K44" s="40" t="s">
        <v>246</v>
      </c>
      <c r="L44" s="41">
        <v>15106.58</v>
      </c>
      <c r="M44" s="41">
        <v>8822.52</v>
      </c>
      <c r="N44" s="40"/>
      <c r="O44" s="46" t="s">
        <v>17</v>
      </c>
    </row>
    <row r="45" spans="1:15" ht="15.75" customHeight="1" x14ac:dyDescent="0.3">
      <c r="A45" s="43" t="s">
        <v>247</v>
      </c>
      <c r="B45" s="43" t="s">
        <v>248</v>
      </c>
      <c r="C45" s="43">
        <v>61</v>
      </c>
      <c r="D45" s="43" t="s">
        <v>124</v>
      </c>
      <c r="E45" s="44">
        <v>44.4</v>
      </c>
      <c r="F45" s="43" t="s">
        <v>116</v>
      </c>
      <c r="G45" s="43">
        <v>4</v>
      </c>
      <c r="H45" s="43" t="s">
        <v>57</v>
      </c>
      <c r="I45" s="43" t="s">
        <v>31</v>
      </c>
      <c r="J45" s="43" t="s">
        <v>46</v>
      </c>
      <c r="K45" s="43" t="s">
        <v>249</v>
      </c>
      <c r="L45" s="44">
        <v>69691.39</v>
      </c>
      <c r="M45" s="44">
        <v>63825.760000000002</v>
      </c>
      <c r="N45" s="43" t="s">
        <v>75</v>
      </c>
      <c r="O45" s="46" t="s">
        <v>17</v>
      </c>
    </row>
    <row r="46" spans="1:15" ht="15.75" customHeight="1" x14ac:dyDescent="0.3">
      <c r="A46" s="40" t="s">
        <v>250</v>
      </c>
      <c r="B46" s="40" t="s">
        <v>251</v>
      </c>
      <c r="C46" s="40">
        <v>49</v>
      </c>
      <c r="D46" s="40" t="s">
        <v>115</v>
      </c>
      <c r="E46" s="41">
        <v>39.799999999999997</v>
      </c>
      <c r="F46" s="40" t="s">
        <v>116</v>
      </c>
      <c r="G46" s="40">
        <v>3</v>
      </c>
      <c r="H46" s="40" t="s">
        <v>57</v>
      </c>
      <c r="I46" s="40" t="s">
        <v>32</v>
      </c>
      <c r="J46" s="40" t="s">
        <v>50</v>
      </c>
      <c r="K46" s="40" t="s">
        <v>252</v>
      </c>
      <c r="L46" s="41">
        <v>15713.4</v>
      </c>
      <c r="M46" s="41">
        <v>12089.13</v>
      </c>
      <c r="N46" s="40" t="s">
        <v>75</v>
      </c>
      <c r="O46" s="42" t="s">
        <v>16</v>
      </c>
    </row>
    <row r="47" spans="1:15" ht="15.75" customHeight="1" x14ac:dyDescent="0.3">
      <c r="A47" s="43" t="s">
        <v>253</v>
      </c>
      <c r="B47" s="43" t="s">
        <v>134</v>
      </c>
      <c r="C47" s="43">
        <v>49</v>
      </c>
      <c r="D47" s="43" t="s">
        <v>115</v>
      </c>
      <c r="E47" s="44">
        <v>24.7</v>
      </c>
      <c r="F47" s="43" t="s">
        <v>116</v>
      </c>
      <c r="G47" s="43">
        <v>1</v>
      </c>
      <c r="H47" s="43" t="s">
        <v>57</v>
      </c>
      <c r="I47" s="43" t="s">
        <v>32</v>
      </c>
      <c r="J47" s="43" t="s">
        <v>49</v>
      </c>
      <c r="K47" s="43" t="s">
        <v>254</v>
      </c>
      <c r="L47" s="44">
        <v>78090.67</v>
      </c>
      <c r="M47" s="44">
        <v>55573.29</v>
      </c>
      <c r="N47" s="43"/>
      <c r="O47" s="42" t="s">
        <v>16</v>
      </c>
    </row>
    <row r="48" spans="1:15" ht="15.75" customHeight="1" x14ac:dyDescent="0.3">
      <c r="A48" s="40" t="s">
        <v>255</v>
      </c>
      <c r="B48" s="40" t="s">
        <v>256</v>
      </c>
      <c r="C48" s="40">
        <v>25</v>
      </c>
      <c r="D48" s="40" t="s">
        <v>124</v>
      </c>
      <c r="E48" s="41">
        <v>32.799999999999997</v>
      </c>
      <c r="F48" s="40" t="s">
        <v>116</v>
      </c>
      <c r="G48" s="40">
        <v>1</v>
      </c>
      <c r="H48" s="40" t="s">
        <v>61</v>
      </c>
      <c r="I48" s="40" t="s">
        <v>30</v>
      </c>
      <c r="J48" s="40" t="s">
        <v>50</v>
      </c>
      <c r="K48" s="40" t="s">
        <v>257</v>
      </c>
      <c r="L48" s="41">
        <v>44903.91</v>
      </c>
      <c r="M48" s="41">
        <v>38093.980000000003</v>
      </c>
      <c r="N48" s="40"/>
      <c r="O48" s="46" t="s">
        <v>17</v>
      </c>
    </row>
    <row r="49" spans="1:15" ht="15.75" customHeight="1" x14ac:dyDescent="0.3">
      <c r="A49" s="43" t="s">
        <v>258</v>
      </c>
      <c r="B49" s="43" t="s">
        <v>259</v>
      </c>
      <c r="C49" s="43">
        <v>32</v>
      </c>
      <c r="D49" s="43" t="s">
        <v>115</v>
      </c>
      <c r="E49" s="44">
        <v>42.7</v>
      </c>
      <c r="F49" s="43" t="s">
        <v>128</v>
      </c>
      <c r="G49" s="43">
        <v>2</v>
      </c>
      <c r="H49" s="43" t="s">
        <v>59</v>
      </c>
      <c r="I49" s="43" t="s">
        <v>32</v>
      </c>
      <c r="J49" s="43" t="s">
        <v>48</v>
      </c>
      <c r="K49" s="43" t="s">
        <v>260</v>
      </c>
      <c r="L49" s="44">
        <v>90344.46</v>
      </c>
      <c r="M49" s="44">
        <v>90300.81</v>
      </c>
      <c r="N49" s="43"/>
      <c r="O49" s="45" t="s">
        <v>18</v>
      </c>
    </row>
    <row r="50" spans="1:15" ht="15.75" customHeight="1" x14ac:dyDescent="0.3">
      <c r="A50" s="40" t="s">
        <v>261</v>
      </c>
      <c r="B50" s="40" t="s">
        <v>224</v>
      </c>
      <c r="C50" s="40">
        <v>19</v>
      </c>
      <c r="D50" s="40" t="s">
        <v>120</v>
      </c>
      <c r="E50" s="41">
        <v>19.399999999999999</v>
      </c>
      <c r="F50" s="40" t="s">
        <v>116</v>
      </c>
      <c r="G50" s="40">
        <v>1</v>
      </c>
      <c r="H50" s="40" t="s">
        <v>59</v>
      </c>
      <c r="I50" s="40" t="s">
        <v>29</v>
      </c>
      <c r="J50" s="40" t="s">
        <v>40</v>
      </c>
      <c r="K50" s="40" t="s">
        <v>262</v>
      </c>
      <c r="L50" s="41"/>
      <c r="M50" s="41">
        <v>41708.639999999999</v>
      </c>
      <c r="N50" s="40"/>
      <c r="O50" s="42" t="s">
        <v>16</v>
      </c>
    </row>
    <row r="51" spans="1:15" ht="15.75" customHeight="1" x14ac:dyDescent="0.3">
      <c r="A51" s="43" t="s">
        <v>263</v>
      </c>
      <c r="B51" s="43" t="s">
        <v>264</v>
      </c>
      <c r="C51" s="43">
        <v>64</v>
      </c>
      <c r="D51" s="43" t="s">
        <v>120</v>
      </c>
      <c r="E51" s="44">
        <v>22</v>
      </c>
      <c r="F51" s="43" t="s">
        <v>116</v>
      </c>
      <c r="G51" s="43">
        <v>3</v>
      </c>
      <c r="H51" s="43" t="s">
        <v>59</v>
      </c>
      <c r="I51" s="43" t="s">
        <v>28</v>
      </c>
      <c r="J51" s="43" t="s">
        <v>46</v>
      </c>
      <c r="K51" s="43" t="s">
        <v>265</v>
      </c>
      <c r="L51" s="44">
        <v>92934.26</v>
      </c>
      <c r="M51" s="44">
        <v>88300.76</v>
      </c>
      <c r="N51" s="43"/>
      <c r="O51" s="42" t="s">
        <v>16</v>
      </c>
    </row>
    <row r="52" spans="1:15" ht="15.75" customHeight="1" x14ac:dyDescent="0.3">
      <c r="A52" s="40" t="s">
        <v>266</v>
      </c>
      <c r="B52" s="40" t="s">
        <v>267</v>
      </c>
      <c r="C52" s="40">
        <v>78</v>
      </c>
      <c r="D52" s="40" t="s">
        <v>124</v>
      </c>
      <c r="E52" s="41">
        <v>25</v>
      </c>
      <c r="F52" s="40" t="s">
        <v>116</v>
      </c>
      <c r="G52" s="40">
        <v>1</v>
      </c>
      <c r="H52" s="40" t="s">
        <v>63</v>
      </c>
      <c r="I52" s="40" t="s">
        <v>32</v>
      </c>
      <c r="J52" s="40" t="s">
        <v>49</v>
      </c>
      <c r="K52" s="40" t="s">
        <v>268</v>
      </c>
      <c r="L52" s="41">
        <v>74212.990000000005</v>
      </c>
      <c r="M52" s="41">
        <v>38102.26</v>
      </c>
      <c r="N52" s="40"/>
      <c r="O52" s="42" t="s">
        <v>16</v>
      </c>
    </row>
    <row r="53" spans="1:15" ht="15.75" customHeight="1" x14ac:dyDescent="0.3">
      <c r="A53" s="43" t="s">
        <v>269</v>
      </c>
      <c r="B53" s="43" t="s">
        <v>270</v>
      </c>
      <c r="C53" s="43">
        <v>50</v>
      </c>
      <c r="D53" s="43" t="s">
        <v>124</v>
      </c>
      <c r="E53" s="44">
        <v>33.200000000000003</v>
      </c>
      <c r="F53" s="43" t="s">
        <v>116</v>
      </c>
      <c r="G53" s="43">
        <v>3</v>
      </c>
      <c r="H53" s="43" t="s">
        <v>65</v>
      </c>
      <c r="I53" s="43" t="s">
        <v>32</v>
      </c>
      <c r="J53" s="43" t="s">
        <v>42</v>
      </c>
      <c r="K53" s="43" t="s">
        <v>271</v>
      </c>
      <c r="L53" s="44">
        <v>89128.84</v>
      </c>
      <c r="M53" s="44">
        <v>67743.98</v>
      </c>
      <c r="N53" s="43" t="s">
        <v>74</v>
      </c>
      <c r="O53" s="42" t="s">
        <v>16</v>
      </c>
    </row>
    <row r="54" spans="1:15" ht="15.75" customHeight="1" x14ac:dyDescent="0.3">
      <c r="A54" s="40" t="s">
        <v>272</v>
      </c>
      <c r="B54" s="40" t="s">
        <v>273</v>
      </c>
      <c r="C54" s="40">
        <v>65</v>
      </c>
      <c r="D54" s="40" t="s">
        <v>115</v>
      </c>
      <c r="E54" s="41">
        <v>49.1</v>
      </c>
      <c r="F54" s="40" t="s">
        <v>116</v>
      </c>
      <c r="G54" s="40">
        <v>3</v>
      </c>
      <c r="H54" s="40" t="s">
        <v>59</v>
      </c>
      <c r="I54" s="40" t="s">
        <v>29</v>
      </c>
      <c r="J54" s="40" t="s">
        <v>46</v>
      </c>
      <c r="K54" s="40" t="s">
        <v>274</v>
      </c>
      <c r="L54" s="41">
        <v>107990.02</v>
      </c>
      <c r="M54" s="41">
        <v>63683.08</v>
      </c>
      <c r="N54" s="40"/>
      <c r="O54" s="45" t="s">
        <v>18</v>
      </c>
    </row>
    <row r="55" spans="1:15" ht="15.75" customHeight="1" x14ac:dyDescent="0.3">
      <c r="A55" s="43" t="s">
        <v>275</v>
      </c>
      <c r="B55" s="43" t="s">
        <v>276</v>
      </c>
      <c r="C55" s="43">
        <v>81</v>
      </c>
      <c r="D55" s="43" t="s">
        <v>115</v>
      </c>
      <c r="E55" s="44">
        <v>49.1</v>
      </c>
      <c r="F55" s="43" t="s">
        <v>116</v>
      </c>
      <c r="G55" s="43">
        <v>3</v>
      </c>
      <c r="H55" s="43" t="s">
        <v>57</v>
      </c>
      <c r="I55" s="43" t="s">
        <v>31</v>
      </c>
      <c r="J55" s="43" t="s">
        <v>42</v>
      </c>
      <c r="K55" s="43" t="s">
        <v>277</v>
      </c>
      <c r="L55" s="44">
        <v>70236.87</v>
      </c>
      <c r="M55" s="44">
        <v>64773.35</v>
      </c>
      <c r="N55" s="43"/>
      <c r="O55" s="42" t="s">
        <v>16</v>
      </c>
    </row>
    <row r="56" spans="1:15" ht="15.75" customHeight="1" x14ac:dyDescent="0.3">
      <c r="A56" s="40" t="s">
        <v>278</v>
      </c>
      <c r="B56" s="40" t="s">
        <v>279</v>
      </c>
      <c r="C56" s="40">
        <v>84</v>
      </c>
      <c r="D56" s="40" t="s">
        <v>115</v>
      </c>
      <c r="E56" s="41">
        <v>44.3</v>
      </c>
      <c r="F56" s="40" t="s">
        <v>116</v>
      </c>
      <c r="G56" s="40">
        <v>1</v>
      </c>
      <c r="H56" s="40" t="s">
        <v>63</v>
      </c>
      <c r="I56" s="40" t="s">
        <v>32</v>
      </c>
      <c r="J56" s="40" t="s">
        <v>40</v>
      </c>
      <c r="K56" s="40" t="s">
        <v>280</v>
      </c>
      <c r="L56" s="41">
        <v>38626.129999999997</v>
      </c>
      <c r="M56" s="41">
        <v>26258.37</v>
      </c>
      <c r="N56" s="40"/>
      <c r="O56" s="45" t="s">
        <v>18</v>
      </c>
    </row>
    <row r="57" spans="1:15" ht="15.75" customHeight="1" x14ac:dyDescent="0.3">
      <c r="A57" s="43" t="s">
        <v>281</v>
      </c>
      <c r="B57" s="43" t="s">
        <v>282</v>
      </c>
      <c r="C57" s="43">
        <v>20</v>
      </c>
      <c r="D57" s="43" t="s">
        <v>124</v>
      </c>
      <c r="E57" s="44">
        <v>22.9</v>
      </c>
      <c r="F57" s="43" t="s">
        <v>128</v>
      </c>
      <c r="G57" s="43">
        <v>3</v>
      </c>
      <c r="H57" s="43" t="s">
        <v>65</v>
      </c>
      <c r="I57" s="43" t="s">
        <v>32</v>
      </c>
      <c r="J57" s="43" t="s">
        <v>44</v>
      </c>
      <c r="K57" s="43" t="s">
        <v>283</v>
      </c>
      <c r="L57" s="44">
        <v>77473.89</v>
      </c>
      <c r="M57" s="44">
        <v>58108.43</v>
      </c>
      <c r="N57" s="43"/>
      <c r="O57" s="42" t="s">
        <v>16</v>
      </c>
    </row>
    <row r="58" spans="1:15" ht="15.75" customHeight="1" x14ac:dyDescent="0.3">
      <c r="A58" s="40" t="s">
        <v>284</v>
      </c>
      <c r="B58" s="40" t="s">
        <v>149</v>
      </c>
      <c r="C58" s="40">
        <v>79</v>
      </c>
      <c r="D58" s="40" t="s">
        <v>124</v>
      </c>
      <c r="E58" s="41">
        <v>49.8</v>
      </c>
      <c r="F58" s="40" t="s">
        <v>116</v>
      </c>
      <c r="G58" s="40">
        <v>4</v>
      </c>
      <c r="H58" s="40" t="s">
        <v>57</v>
      </c>
      <c r="I58" s="40" t="s">
        <v>32</v>
      </c>
      <c r="J58" s="40" t="s">
        <v>44</v>
      </c>
      <c r="K58" s="40" t="s">
        <v>285</v>
      </c>
      <c r="L58" s="41">
        <v>35740.92</v>
      </c>
      <c r="M58" s="41">
        <v>32871.57</v>
      </c>
      <c r="N58" s="40" t="s">
        <v>75</v>
      </c>
      <c r="O58" s="42" t="s">
        <v>16</v>
      </c>
    </row>
    <row r="59" spans="1:15" ht="15.75" customHeight="1" x14ac:dyDescent="0.3">
      <c r="A59" s="43" t="s">
        <v>286</v>
      </c>
      <c r="B59" s="43" t="s">
        <v>287</v>
      </c>
      <c r="C59" s="43">
        <v>54</v>
      </c>
      <c r="D59" s="43" t="s">
        <v>120</v>
      </c>
      <c r="E59" s="44">
        <v>40</v>
      </c>
      <c r="F59" s="43" t="s">
        <v>128</v>
      </c>
      <c r="G59" s="43">
        <v>1</v>
      </c>
      <c r="H59" s="43" t="s">
        <v>57</v>
      </c>
      <c r="I59" s="43" t="s">
        <v>32</v>
      </c>
      <c r="J59" s="43" t="s">
        <v>42</v>
      </c>
      <c r="K59" s="43" t="s">
        <v>288</v>
      </c>
      <c r="L59" s="44">
        <v>50471.09</v>
      </c>
      <c r="M59" s="44">
        <v>48972.32</v>
      </c>
      <c r="N59" s="43"/>
      <c r="O59" s="42" t="s">
        <v>16</v>
      </c>
    </row>
    <row r="60" spans="1:15" ht="15.75" customHeight="1" x14ac:dyDescent="0.3">
      <c r="A60" s="40" t="s">
        <v>289</v>
      </c>
      <c r="B60" s="40" t="s">
        <v>290</v>
      </c>
      <c r="C60" s="40">
        <v>79</v>
      </c>
      <c r="D60" s="40" t="s">
        <v>124</v>
      </c>
      <c r="E60" s="41">
        <v>49.7</v>
      </c>
      <c r="F60" s="40" t="s">
        <v>128</v>
      </c>
      <c r="G60" s="40">
        <v>2</v>
      </c>
      <c r="H60" s="40" t="s">
        <v>61</v>
      </c>
      <c r="I60" s="40" t="s">
        <v>29</v>
      </c>
      <c r="J60" s="40" t="s">
        <v>47</v>
      </c>
      <c r="K60" s="40" t="s">
        <v>291</v>
      </c>
      <c r="L60" s="41">
        <v>30338.54</v>
      </c>
      <c r="M60" s="41">
        <v>17573.509999999998</v>
      </c>
      <c r="N60" s="40"/>
      <c r="O60" s="42" t="s">
        <v>16</v>
      </c>
    </row>
    <row r="61" spans="1:15" ht="15.75" customHeight="1" x14ac:dyDescent="0.3">
      <c r="A61" s="43" t="s">
        <v>292</v>
      </c>
      <c r="B61" s="43" t="s">
        <v>293</v>
      </c>
      <c r="C61" s="43">
        <v>68</v>
      </c>
      <c r="D61" s="43" t="s">
        <v>124</v>
      </c>
      <c r="E61" s="44">
        <v>49</v>
      </c>
      <c r="F61" s="43" t="s">
        <v>116</v>
      </c>
      <c r="G61" s="43">
        <v>1</v>
      </c>
      <c r="H61" s="43" t="s">
        <v>57</v>
      </c>
      <c r="I61" s="43" t="s">
        <v>31</v>
      </c>
      <c r="J61" s="43" t="s">
        <v>46</v>
      </c>
      <c r="K61" s="43" t="s">
        <v>294</v>
      </c>
      <c r="L61" s="44">
        <v>70992.009999999995</v>
      </c>
      <c r="M61" s="44">
        <v>42724.31</v>
      </c>
      <c r="N61" s="43"/>
      <c r="O61" s="42" t="s">
        <v>16</v>
      </c>
    </row>
    <row r="62" spans="1:15" ht="15.75" customHeight="1" x14ac:dyDescent="0.3">
      <c r="A62" s="40" t="s">
        <v>295</v>
      </c>
      <c r="B62" s="40" t="s">
        <v>296</v>
      </c>
      <c r="C62" s="40">
        <v>29</v>
      </c>
      <c r="D62" s="40" t="s">
        <v>124</v>
      </c>
      <c r="E62" s="41"/>
      <c r="F62" s="40" t="s">
        <v>116</v>
      </c>
      <c r="G62" s="40">
        <v>2</v>
      </c>
      <c r="H62" s="40" t="s">
        <v>65</v>
      </c>
      <c r="I62" s="40" t="s">
        <v>30</v>
      </c>
      <c r="J62" s="40" t="s">
        <v>46</v>
      </c>
      <c r="K62" s="40" t="s">
        <v>297</v>
      </c>
      <c r="L62" s="41">
        <v>41690.019999999997</v>
      </c>
      <c r="M62" s="41">
        <v>34252.43</v>
      </c>
      <c r="N62" s="40"/>
      <c r="O62" s="45" t="s">
        <v>18</v>
      </c>
    </row>
    <row r="63" spans="1:15" ht="15.75" customHeight="1" x14ac:dyDescent="0.3">
      <c r="A63" s="43" t="s">
        <v>298</v>
      </c>
      <c r="B63" s="43" t="s">
        <v>299</v>
      </c>
      <c r="C63" s="43">
        <v>80</v>
      </c>
      <c r="D63" s="43" t="s">
        <v>124</v>
      </c>
      <c r="E63" s="44">
        <v>16.100000000000001</v>
      </c>
      <c r="F63" s="43" t="s">
        <v>116</v>
      </c>
      <c r="G63" s="43">
        <v>0</v>
      </c>
      <c r="H63" s="43" t="s">
        <v>63</v>
      </c>
      <c r="I63" s="43" t="s">
        <v>30</v>
      </c>
      <c r="J63" s="43" t="s">
        <v>40</v>
      </c>
      <c r="K63" s="43" t="s">
        <v>300</v>
      </c>
      <c r="L63" s="44">
        <v>17139.77</v>
      </c>
      <c r="M63" s="44">
        <v>16472.66</v>
      </c>
      <c r="N63" s="43" t="s">
        <v>75</v>
      </c>
      <c r="O63" s="42" t="s">
        <v>16</v>
      </c>
    </row>
    <row r="64" spans="1:15" ht="15.75" customHeight="1" x14ac:dyDescent="0.3">
      <c r="A64" s="40" t="s">
        <v>301</v>
      </c>
      <c r="B64" s="40" t="s">
        <v>302</v>
      </c>
      <c r="C64" s="40">
        <v>54</v>
      </c>
      <c r="D64" s="40" t="s">
        <v>124</v>
      </c>
      <c r="E64" s="41">
        <v>37</v>
      </c>
      <c r="F64" s="40" t="s">
        <v>128</v>
      </c>
      <c r="G64" s="40">
        <v>0</v>
      </c>
      <c r="H64" s="40" t="s">
        <v>65</v>
      </c>
      <c r="I64" s="40" t="s">
        <v>28</v>
      </c>
      <c r="J64" s="40" t="s">
        <v>44</v>
      </c>
      <c r="K64" s="40" t="s">
        <v>303</v>
      </c>
      <c r="L64" s="41">
        <v>75217.03</v>
      </c>
      <c r="M64" s="41">
        <v>48557.09</v>
      </c>
      <c r="N64" s="40"/>
      <c r="O64" s="42" t="s">
        <v>16</v>
      </c>
    </row>
    <row r="65" spans="1:15" ht="15.75" customHeight="1" x14ac:dyDescent="0.3">
      <c r="A65" s="43" t="s">
        <v>304</v>
      </c>
      <c r="B65" s="43" t="s">
        <v>305</v>
      </c>
      <c r="C65" s="43">
        <v>55</v>
      </c>
      <c r="D65" s="43" t="s">
        <v>124</v>
      </c>
      <c r="E65" s="44">
        <v>48</v>
      </c>
      <c r="F65" s="43" t="s">
        <v>128</v>
      </c>
      <c r="G65" s="43">
        <v>0</v>
      </c>
      <c r="H65" s="43" t="s">
        <v>63</v>
      </c>
      <c r="I65" s="43" t="s">
        <v>31</v>
      </c>
      <c r="J65" s="43" t="s">
        <v>46</v>
      </c>
      <c r="K65" s="43" t="s">
        <v>306</v>
      </c>
      <c r="L65" s="44">
        <v>111611.46</v>
      </c>
      <c r="M65" s="44">
        <v>78672.850000000006</v>
      </c>
      <c r="N65" s="43"/>
      <c r="O65" s="42" t="s">
        <v>16</v>
      </c>
    </row>
    <row r="66" spans="1:15" ht="15.75" customHeight="1" x14ac:dyDescent="0.3">
      <c r="A66" s="40" t="s">
        <v>307</v>
      </c>
      <c r="B66" s="40" t="s">
        <v>158</v>
      </c>
      <c r="C66" s="40">
        <v>44</v>
      </c>
      <c r="D66" s="40" t="s">
        <v>120</v>
      </c>
      <c r="E66" s="41">
        <v>16.399999999999999</v>
      </c>
      <c r="F66" s="40" t="s">
        <v>128</v>
      </c>
      <c r="G66" s="40">
        <v>3</v>
      </c>
      <c r="H66" s="40" t="s">
        <v>59</v>
      </c>
      <c r="I66" s="40" t="s">
        <v>30</v>
      </c>
      <c r="J66" s="40" t="s">
        <v>50</v>
      </c>
      <c r="K66" s="40" t="s">
        <v>308</v>
      </c>
      <c r="L66" s="41">
        <v>11863.93</v>
      </c>
      <c r="M66" s="41">
        <v>6967.25</v>
      </c>
      <c r="N66" s="40"/>
      <c r="O66" s="46" t="s">
        <v>17</v>
      </c>
    </row>
    <row r="67" spans="1:15" ht="15.75" customHeight="1" x14ac:dyDescent="0.3">
      <c r="A67" s="43" t="s">
        <v>309</v>
      </c>
      <c r="B67" s="43" t="s">
        <v>310</v>
      </c>
      <c r="C67" s="43">
        <v>73</v>
      </c>
      <c r="D67" s="43" t="s">
        <v>115</v>
      </c>
      <c r="E67" s="44">
        <v>34.799999999999997</v>
      </c>
      <c r="F67" s="43" t="s">
        <v>128</v>
      </c>
      <c r="G67" s="43">
        <v>0</v>
      </c>
      <c r="H67" s="43" t="s">
        <v>65</v>
      </c>
      <c r="I67" s="43" t="s">
        <v>28</v>
      </c>
      <c r="J67" s="43" t="s">
        <v>40</v>
      </c>
      <c r="K67" s="43" t="s">
        <v>311</v>
      </c>
      <c r="L67" s="44">
        <v>119802.81</v>
      </c>
      <c r="M67" s="44">
        <v>114213.28</v>
      </c>
      <c r="N67" s="43"/>
      <c r="O67" s="42" t="s">
        <v>16</v>
      </c>
    </row>
    <row r="68" spans="1:15" ht="15.75" customHeight="1" x14ac:dyDescent="0.3">
      <c r="A68" s="40" t="s">
        <v>312</v>
      </c>
      <c r="B68" s="40" t="s">
        <v>313</v>
      </c>
      <c r="C68" s="40">
        <v>60</v>
      </c>
      <c r="D68" s="40" t="s">
        <v>124</v>
      </c>
      <c r="E68" s="41">
        <v>20.8</v>
      </c>
      <c r="F68" s="40" t="s">
        <v>116</v>
      </c>
      <c r="G68" s="40">
        <v>3</v>
      </c>
      <c r="H68" s="40" t="s">
        <v>57</v>
      </c>
      <c r="I68" s="40" t="s">
        <v>31</v>
      </c>
      <c r="J68" s="40" t="s">
        <v>48</v>
      </c>
      <c r="K68" s="40" t="s">
        <v>314</v>
      </c>
      <c r="L68" s="41">
        <v>92078.2</v>
      </c>
      <c r="M68" s="41">
        <v>85076.72</v>
      </c>
      <c r="N68" s="40"/>
      <c r="O68" s="42" t="s">
        <v>16</v>
      </c>
    </row>
    <row r="69" spans="1:15" ht="15.75" customHeight="1" x14ac:dyDescent="0.3">
      <c r="A69" s="43" t="s">
        <v>315</v>
      </c>
      <c r="B69" s="43" t="s">
        <v>316</v>
      </c>
      <c r="C69" s="43">
        <v>61</v>
      </c>
      <c r="D69" s="43" t="s">
        <v>115</v>
      </c>
      <c r="E69" s="44">
        <v>29.1</v>
      </c>
      <c r="F69" s="43" t="s">
        <v>128</v>
      </c>
      <c r="G69" s="43">
        <v>3</v>
      </c>
      <c r="H69" s="43" t="s">
        <v>57</v>
      </c>
      <c r="I69" s="43" t="s">
        <v>32</v>
      </c>
      <c r="J69" s="43" t="s">
        <v>48</v>
      </c>
      <c r="K69" s="43" t="s">
        <v>317</v>
      </c>
      <c r="L69" s="44"/>
      <c r="M69" s="44">
        <v>38498.410000000003</v>
      </c>
      <c r="N69" s="43"/>
      <c r="O69" s="46" t="s">
        <v>17</v>
      </c>
    </row>
    <row r="70" spans="1:15" ht="15.75" customHeight="1" x14ac:dyDescent="0.3">
      <c r="A70" s="40" t="s">
        <v>318</v>
      </c>
      <c r="B70" s="40" t="s">
        <v>319</v>
      </c>
      <c r="C70" s="40">
        <v>72</v>
      </c>
      <c r="D70" s="40" t="s">
        <v>120</v>
      </c>
      <c r="E70" s="41">
        <v>39.5</v>
      </c>
      <c r="F70" s="40" t="s">
        <v>128</v>
      </c>
      <c r="G70" s="40">
        <v>4</v>
      </c>
      <c r="H70" s="40" t="s">
        <v>57</v>
      </c>
      <c r="I70" s="40" t="s">
        <v>30</v>
      </c>
      <c r="J70" s="40" t="s">
        <v>49</v>
      </c>
      <c r="K70" s="40" t="s">
        <v>320</v>
      </c>
      <c r="L70" s="41">
        <v>89237.119999999995</v>
      </c>
      <c r="M70" s="41">
        <v>50746.04</v>
      </c>
      <c r="N70" s="40"/>
      <c r="O70" s="42" t="s">
        <v>16</v>
      </c>
    </row>
    <row r="71" spans="1:15" ht="15.75" customHeight="1" x14ac:dyDescent="0.3">
      <c r="A71" s="43" t="s">
        <v>321</v>
      </c>
      <c r="B71" s="43" t="s">
        <v>322</v>
      </c>
      <c r="C71" s="43">
        <v>57</v>
      </c>
      <c r="D71" s="43" t="s">
        <v>115</v>
      </c>
      <c r="E71" s="44">
        <v>17.399999999999999</v>
      </c>
      <c r="F71" s="43" t="s">
        <v>116</v>
      </c>
      <c r="G71" s="43">
        <v>4</v>
      </c>
      <c r="H71" s="43" t="s">
        <v>65</v>
      </c>
      <c r="I71" s="43" t="s">
        <v>31</v>
      </c>
      <c r="J71" s="43" t="s">
        <v>50</v>
      </c>
      <c r="K71" s="43" t="s">
        <v>323</v>
      </c>
      <c r="L71" s="44">
        <v>119568.6</v>
      </c>
      <c r="M71" s="44">
        <v>96185.27</v>
      </c>
      <c r="N71" s="43"/>
      <c r="O71" s="42" t="s">
        <v>16</v>
      </c>
    </row>
    <row r="72" spans="1:15" ht="15.75" customHeight="1" x14ac:dyDescent="0.3">
      <c r="A72" s="40" t="s">
        <v>324</v>
      </c>
      <c r="B72" s="40" t="s">
        <v>325</v>
      </c>
      <c r="C72" s="40">
        <v>84</v>
      </c>
      <c r="D72" s="40" t="s">
        <v>120</v>
      </c>
      <c r="E72" s="41">
        <v>48.9</v>
      </c>
      <c r="F72" s="40" t="s">
        <v>128</v>
      </c>
      <c r="G72" s="40">
        <v>1</v>
      </c>
      <c r="H72" s="40" t="s">
        <v>61</v>
      </c>
      <c r="I72" s="40" t="s">
        <v>29</v>
      </c>
      <c r="J72" s="40" t="s">
        <v>47</v>
      </c>
      <c r="K72" s="40" t="s">
        <v>326</v>
      </c>
      <c r="L72" s="41">
        <v>56113.9</v>
      </c>
      <c r="M72" s="41">
        <v>43940.86</v>
      </c>
      <c r="N72" s="40" t="s">
        <v>75</v>
      </c>
      <c r="O72" s="42" t="s">
        <v>16</v>
      </c>
    </row>
    <row r="73" spans="1:15" ht="15.75" customHeight="1" x14ac:dyDescent="0.3">
      <c r="A73" s="43" t="s">
        <v>327</v>
      </c>
      <c r="B73" s="43" t="s">
        <v>328</v>
      </c>
      <c r="C73" s="43">
        <v>56</v>
      </c>
      <c r="D73" s="43" t="s">
        <v>120</v>
      </c>
      <c r="E73" s="44">
        <v>19</v>
      </c>
      <c r="F73" s="43" t="s">
        <v>128</v>
      </c>
      <c r="G73" s="43">
        <v>1</v>
      </c>
      <c r="H73" s="43" t="s">
        <v>65</v>
      </c>
      <c r="I73" s="43" t="s">
        <v>29</v>
      </c>
      <c r="J73" s="43" t="s">
        <v>40</v>
      </c>
      <c r="K73" s="43" t="s">
        <v>329</v>
      </c>
      <c r="L73" s="44">
        <v>23008.17</v>
      </c>
      <c r="M73" s="44">
        <v>16039.9</v>
      </c>
      <c r="N73" s="43"/>
      <c r="O73" s="42" t="s">
        <v>16</v>
      </c>
    </row>
    <row r="74" spans="1:15" ht="15.75" customHeight="1" x14ac:dyDescent="0.3">
      <c r="A74" s="40" t="s">
        <v>330</v>
      </c>
      <c r="B74" s="40" t="s">
        <v>331</v>
      </c>
      <c r="C74" s="40">
        <v>23</v>
      </c>
      <c r="D74" s="40" t="s">
        <v>124</v>
      </c>
      <c r="E74" s="41">
        <v>28.1</v>
      </c>
      <c r="F74" s="40" t="s">
        <v>116</v>
      </c>
      <c r="G74" s="40">
        <v>2</v>
      </c>
      <c r="H74" s="40" t="s">
        <v>63</v>
      </c>
      <c r="I74" s="40" t="s">
        <v>29</v>
      </c>
      <c r="J74" s="40" t="s">
        <v>48</v>
      </c>
      <c r="K74" s="40" t="s">
        <v>332</v>
      </c>
      <c r="L74" s="41">
        <v>14189.17</v>
      </c>
      <c r="M74" s="41">
        <v>8373.0300000000007</v>
      </c>
      <c r="N74" s="40" t="s">
        <v>74</v>
      </c>
      <c r="O74" s="42" t="s">
        <v>16</v>
      </c>
    </row>
    <row r="75" spans="1:15" ht="15.75" customHeight="1" x14ac:dyDescent="0.3">
      <c r="A75" s="43" t="s">
        <v>333</v>
      </c>
      <c r="B75" s="43" t="s">
        <v>334</v>
      </c>
      <c r="C75" s="43">
        <v>31</v>
      </c>
      <c r="D75" s="43" t="s">
        <v>124</v>
      </c>
      <c r="E75" s="44">
        <v>30.2</v>
      </c>
      <c r="F75" s="43" t="s">
        <v>128</v>
      </c>
      <c r="G75" s="43">
        <v>3</v>
      </c>
      <c r="H75" s="43" t="s">
        <v>61</v>
      </c>
      <c r="I75" s="43" t="s">
        <v>30</v>
      </c>
      <c r="J75" s="43" t="s">
        <v>50</v>
      </c>
      <c r="K75" s="43" t="s">
        <v>335</v>
      </c>
      <c r="L75" s="44">
        <v>108667</v>
      </c>
      <c r="M75" s="44">
        <v>107426.85</v>
      </c>
      <c r="N75" s="43" t="s">
        <v>74</v>
      </c>
      <c r="O75" s="42" t="s">
        <v>16</v>
      </c>
    </row>
    <row r="76" spans="1:15" ht="15.75" customHeight="1" x14ac:dyDescent="0.3">
      <c r="A76" s="40" t="s">
        <v>336</v>
      </c>
      <c r="B76" s="40" t="s">
        <v>337</v>
      </c>
      <c r="C76" s="40">
        <v>66</v>
      </c>
      <c r="D76" s="40" t="s">
        <v>124</v>
      </c>
      <c r="E76" s="41">
        <v>21.7</v>
      </c>
      <c r="F76" s="40" t="s">
        <v>116</v>
      </c>
      <c r="G76" s="40">
        <v>2</v>
      </c>
      <c r="H76" s="40" t="s">
        <v>57</v>
      </c>
      <c r="I76" s="40" t="s">
        <v>28</v>
      </c>
      <c r="J76" s="40" t="s">
        <v>44</v>
      </c>
      <c r="K76" s="40" t="s">
        <v>338</v>
      </c>
      <c r="L76" s="41">
        <v>108384.73</v>
      </c>
      <c r="M76" s="41">
        <v>84985.95</v>
      </c>
      <c r="N76" s="40"/>
      <c r="O76" s="46" t="s">
        <v>17</v>
      </c>
    </row>
    <row r="77" spans="1:15" ht="15.75" customHeight="1" x14ac:dyDescent="0.3">
      <c r="A77" s="43" t="s">
        <v>339</v>
      </c>
      <c r="B77" s="43" t="s">
        <v>340</v>
      </c>
      <c r="C77" s="43">
        <v>77</v>
      </c>
      <c r="D77" s="43" t="s">
        <v>120</v>
      </c>
      <c r="E77" s="44">
        <v>21.1</v>
      </c>
      <c r="F77" s="43" t="s">
        <v>128</v>
      </c>
      <c r="G77" s="43">
        <v>1</v>
      </c>
      <c r="H77" s="43" t="s">
        <v>59</v>
      </c>
      <c r="I77" s="43" t="s">
        <v>28</v>
      </c>
      <c r="J77" s="43" t="s">
        <v>42</v>
      </c>
      <c r="K77" s="43" t="s">
        <v>341</v>
      </c>
      <c r="L77" s="44">
        <v>81117.62</v>
      </c>
      <c r="M77" s="44">
        <v>60479.08</v>
      </c>
      <c r="N77" s="43"/>
      <c r="O77" s="42" t="s">
        <v>16</v>
      </c>
    </row>
    <row r="78" spans="1:15" ht="15.75" customHeight="1" x14ac:dyDescent="0.3">
      <c r="A78" s="40" t="s">
        <v>342</v>
      </c>
      <c r="B78" s="40" t="s">
        <v>343</v>
      </c>
      <c r="C78" s="40">
        <v>69</v>
      </c>
      <c r="D78" s="40" t="s">
        <v>115</v>
      </c>
      <c r="E78" s="41">
        <v>18.8</v>
      </c>
      <c r="F78" s="40" t="s">
        <v>116</v>
      </c>
      <c r="G78" s="40">
        <v>2</v>
      </c>
      <c r="H78" s="40" t="s">
        <v>61</v>
      </c>
      <c r="I78" s="40" t="s">
        <v>29</v>
      </c>
      <c r="J78" s="40" t="s">
        <v>44</v>
      </c>
      <c r="K78" s="40" t="s">
        <v>344</v>
      </c>
      <c r="L78" s="41">
        <v>106775.65</v>
      </c>
      <c r="M78" s="41">
        <v>63822.400000000001</v>
      </c>
      <c r="N78" s="40"/>
      <c r="O78" s="42" t="s">
        <v>16</v>
      </c>
    </row>
    <row r="79" spans="1:15" ht="15.75" customHeight="1" x14ac:dyDescent="0.3">
      <c r="A79" s="43" t="s">
        <v>345</v>
      </c>
      <c r="B79" s="43" t="s">
        <v>346</v>
      </c>
      <c r="C79" s="43">
        <v>41</v>
      </c>
      <c r="D79" s="43" t="s">
        <v>115</v>
      </c>
      <c r="E79" s="44">
        <v>40.700000000000003</v>
      </c>
      <c r="F79" s="43" t="s">
        <v>116</v>
      </c>
      <c r="G79" s="43">
        <v>2</v>
      </c>
      <c r="H79" s="43" t="s">
        <v>65</v>
      </c>
      <c r="I79" s="43" t="s">
        <v>31</v>
      </c>
      <c r="J79" s="43" t="s">
        <v>47</v>
      </c>
      <c r="K79" s="43" t="s">
        <v>347</v>
      </c>
      <c r="L79" s="44">
        <v>113336.35</v>
      </c>
      <c r="M79" s="44">
        <v>100815.2</v>
      </c>
      <c r="N79" s="43"/>
      <c r="O79" s="46" t="s">
        <v>17</v>
      </c>
    </row>
    <row r="80" spans="1:15" ht="15.75" customHeight="1" x14ac:dyDescent="0.3">
      <c r="A80" s="40" t="s">
        <v>348</v>
      </c>
      <c r="B80" s="40" t="s">
        <v>349</v>
      </c>
      <c r="C80" s="40">
        <v>71</v>
      </c>
      <c r="D80" s="40" t="s">
        <v>115</v>
      </c>
      <c r="E80" s="41">
        <v>18.899999999999999</v>
      </c>
      <c r="F80" s="40" t="s">
        <v>128</v>
      </c>
      <c r="G80" s="40">
        <v>0</v>
      </c>
      <c r="H80" s="40" t="s">
        <v>57</v>
      </c>
      <c r="I80" s="40" t="s">
        <v>29</v>
      </c>
      <c r="J80" s="40" t="s">
        <v>40</v>
      </c>
      <c r="K80" s="40" t="s">
        <v>350</v>
      </c>
      <c r="L80" s="41">
        <v>81349.259999999995</v>
      </c>
      <c r="M80" s="41">
        <v>79779.61</v>
      </c>
      <c r="N80" s="40"/>
      <c r="O80" s="46" t="s">
        <v>17</v>
      </c>
    </row>
    <row r="81" spans="1:15" ht="15.75" customHeight="1" x14ac:dyDescent="0.3">
      <c r="A81" s="43" t="s">
        <v>351</v>
      </c>
      <c r="B81" s="43" t="s">
        <v>352</v>
      </c>
      <c r="C81" s="43">
        <v>33</v>
      </c>
      <c r="D81" s="43" t="s">
        <v>120</v>
      </c>
      <c r="E81" s="44">
        <v>40.6</v>
      </c>
      <c r="F81" s="43" t="s">
        <v>128</v>
      </c>
      <c r="G81" s="43">
        <v>0</v>
      </c>
      <c r="H81" s="43" t="s">
        <v>57</v>
      </c>
      <c r="I81" s="43" t="s">
        <v>28</v>
      </c>
      <c r="J81" s="43" t="s">
        <v>42</v>
      </c>
      <c r="K81" s="43" t="s">
        <v>353</v>
      </c>
      <c r="L81" s="44">
        <v>983.68</v>
      </c>
      <c r="M81" s="44">
        <v>925.84</v>
      </c>
      <c r="N81" s="43" t="s">
        <v>73</v>
      </c>
      <c r="O81" s="45" t="s">
        <v>18</v>
      </c>
    </row>
    <row r="82" spans="1:15" ht="15.75" customHeight="1" x14ac:dyDescent="0.3">
      <c r="A82" s="40" t="s">
        <v>354</v>
      </c>
      <c r="B82" s="40" t="s">
        <v>355</v>
      </c>
      <c r="C82" s="40">
        <v>35</v>
      </c>
      <c r="D82" s="40" t="s">
        <v>115</v>
      </c>
      <c r="E82" s="41">
        <v>26.8</v>
      </c>
      <c r="F82" s="40" t="s">
        <v>116</v>
      </c>
      <c r="G82" s="40">
        <v>4</v>
      </c>
      <c r="H82" s="40" t="s">
        <v>61</v>
      </c>
      <c r="I82" s="40" t="s">
        <v>30</v>
      </c>
      <c r="J82" s="40" t="s">
        <v>50</v>
      </c>
      <c r="K82" s="40" t="s">
        <v>297</v>
      </c>
      <c r="L82" s="41">
        <v>38573.99</v>
      </c>
      <c r="M82" s="41">
        <v>36509.07</v>
      </c>
      <c r="N82" s="40"/>
      <c r="O82" s="42" t="s">
        <v>16</v>
      </c>
    </row>
    <row r="83" spans="1:15" ht="15.75" customHeight="1" x14ac:dyDescent="0.3">
      <c r="A83" s="43" t="s">
        <v>356</v>
      </c>
      <c r="B83" s="43" t="s">
        <v>357</v>
      </c>
      <c r="C83" s="43">
        <v>64</v>
      </c>
      <c r="D83" s="43" t="s">
        <v>120</v>
      </c>
      <c r="E83" s="44">
        <v>48.1</v>
      </c>
      <c r="F83" s="43" t="s">
        <v>116</v>
      </c>
      <c r="G83" s="43">
        <v>2</v>
      </c>
      <c r="H83" s="43" t="s">
        <v>59</v>
      </c>
      <c r="I83" s="43" t="s">
        <v>30</v>
      </c>
      <c r="J83" s="43" t="s">
        <v>42</v>
      </c>
      <c r="K83" s="43" t="s">
        <v>358</v>
      </c>
      <c r="L83" s="44">
        <v>24657.39</v>
      </c>
      <c r="M83" s="44">
        <v>15992.92</v>
      </c>
      <c r="N83" s="43"/>
      <c r="O83" s="46" t="s">
        <v>17</v>
      </c>
    </row>
    <row r="84" spans="1:15" ht="15.75" customHeight="1" x14ac:dyDescent="0.3">
      <c r="A84" s="40" t="s">
        <v>359</v>
      </c>
      <c r="B84" s="40" t="s">
        <v>360</v>
      </c>
      <c r="C84" s="40">
        <v>27</v>
      </c>
      <c r="D84" s="40" t="s">
        <v>124</v>
      </c>
      <c r="E84" s="41">
        <v>38.700000000000003</v>
      </c>
      <c r="F84" s="40" t="s">
        <v>128</v>
      </c>
      <c r="G84" s="40">
        <v>2</v>
      </c>
      <c r="H84" s="40" t="s">
        <v>63</v>
      </c>
      <c r="I84" s="40" t="s">
        <v>32</v>
      </c>
      <c r="J84" s="40" t="s">
        <v>49</v>
      </c>
      <c r="K84" s="40" t="s">
        <v>361</v>
      </c>
      <c r="L84" s="41">
        <v>68082.070000000007</v>
      </c>
      <c r="M84" s="41">
        <v>41129.089999999997</v>
      </c>
      <c r="N84" s="40"/>
      <c r="O84" s="42" t="s">
        <v>16</v>
      </c>
    </row>
    <row r="85" spans="1:15" ht="15.75" customHeight="1" x14ac:dyDescent="0.3">
      <c r="A85" s="43" t="s">
        <v>362</v>
      </c>
      <c r="B85" s="43" t="s">
        <v>149</v>
      </c>
      <c r="C85" s="43">
        <v>68</v>
      </c>
      <c r="D85" s="43" t="s">
        <v>120</v>
      </c>
      <c r="E85" s="44">
        <v>26.1</v>
      </c>
      <c r="F85" s="43" t="s">
        <v>116</v>
      </c>
      <c r="G85" s="43">
        <v>0</v>
      </c>
      <c r="H85" s="43" t="s">
        <v>57</v>
      </c>
      <c r="I85" s="43" t="s">
        <v>32</v>
      </c>
      <c r="J85" s="43" t="s">
        <v>49</v>
      </c>
      <c r="K85" s="43" t="s">
        <v>363</v>
      </c>
      <c r="L85" s="44">
        <v>74122.64</v>
      </c>
      <c r="M85" s="44">
        <v>68303.240000000005</v>
      </c>
      <c r="N85" s="43" t="s">
        <v>74</v>
      </c>
      <c r="O85" s="42" t="s">
        <v>16</v>
      </c>
    </row>
    <row r="86" spans="1:15" ht="15.75" customHeight="1" x14ac:dyDescent="0.3">
      <c r="A86" s="40" t="s">
        <v>364</v>
      </c>
      <c r="B86" s="40" t="s">
        <v>365</v>
      </c>
      <c r="C86" s="40">
        <v>43</v>
      </c>
      <c r="D86" s="40" t="s">
        <v>115</v>
      </c>
      <c r="E86" s="41">
        <v>37.200000000000003</v>
      </c>
      <c r="F86" s="40" t="s">
        <v>116</v>
      </c>
      <c r="G86" s="40">
        <v>4</v>
      </c>
      <c r="H86" s="40" t="s">
        <v>59</v>
      </c>
      <c r="I86" s="40" t="s">
        <v>29</v>
      </c>
      <c r="J86" s="40" t="s">
        <v>47</v>
      </c>
      <c r="K86" s="40" t="s">
        <v>366</v>
      </c>
      <c r="L86" s="41">
        <v>114246.6</v>
      </c>
      <c r="M86" s="41">
        <v>67604.59</v>
      </c>
      <c r="N86" s="40" t="s">
        <v>75</v>
      </c>
      <c r="O86" s="42" t="s">
        <v>16</v>
      </c>
    </row>
    <row r="87" spans="1:15" ht="15.75" customHeight="1" x14ac:dyDescent="0.3">
      <c r="A87" s="43" t="s">
        <v>367</v>
      </c>
      <c r="B87" s="43" t="s">
        <v>155</v>
      </c>
      <c r="C87" s="43">
        <v>52</v>
      </c>
      <c r="D87" s="43" t="s">
        <v>120</v>
      </c>
      <c r="E87" s="44">
        <v>19.5</v>
      </c>
      <c r="F87" s="43" t="s">
        <v>116</v>
      </c>
      <c r="G87" s="43">
        <v>0</v>
      </c>
      <c r="H87" s="43" t="s">
        <v>61</v>
      </c>
      <c r="I87" s="43" t="s">
        <v>30</v>
      </c>
      <c r="J87" s="43" t="s">
        <v>50</v>
      </c>
      <c r="K87" s="43" t="s">
        <v>368</v>
      </c>
      <c r="L87" s="44"/>
      <c r="M87" s="44">
        <v>64034.59</v>
      </c>
      <c r="N87" s="43"/>
      <c r="O87" s="42" t="s">
        <v>16</v>
      </c>
    </row>
    <row r="88" spans="1:15" ht="15.75" customHeight="1" x14ac:dyDescent="0.3">
      <c r="A88" s="40" t="s">
        <v>369</v>
      </c>
      <c r="B88" s="40" t="s">
        <v>346</v>
      </c>
      <c r="C88" s="40">
        <v>45</v>
      </c>
      <c r="D88" s="40" t="s">
        <v>124</v>
      </c>
      <c r="E88" s="41">
        <v>23.5</v>
      </c>
      <c r="F88" s="40" t="s">
        <v>128</v>
      </c>
      <c r="G88" s="40">
        <v>3</v>
      </c>
      <c r="H88" s="40" t="s">
        <v>59</v>
      </c>
      <c r="I88" s="40" t="s">
        <v>30</v>
      </c>
      <c r="J88" s="40" t="s">
        <v>50</v>
      </c>
      <c r="K88" s="40" t="s">
        <v>370</v>
      </c>
      <c r="L88" s="41">
        <v>8352.74</v>
      </c>
      <c r="M88" s="41">
        <v>5896.81</v>
      </c>
      <c r="N88" s="40"/>
      <c r="O88" s="46" t="s">
        <v>17</v>
      </c>
    </row>
    <row r="89" spans="1:15" ht="15.75" customHeight="1" x14ac:dyDescent="0.3">
      <c r="A89" s="43" t="s">
        <v>371</v>
      </c>
      <c r="B89" s="43" t="s">
        <v>212</v>
      </c>
      <c r="C89" s="43">
        <v>72</v>
      </c>
      <c r="D89" s="43" t="s">
        <v>124</v>
      </c>
      <c r="E89" s="44">
        <v>22</v>
      </c>
      <c r="F89" s="43" t="s">
        <v>128</v>
      </c>
      <c r="G89" s="43">
        <v>4</v>
      </c>
      <c r="H89" s="43" t="s">
        <v>65</v>
      </c>
      <c r="I89" s="43" t="s">
        <v>29</v>
      </c>
      <c r="J89" s="43" t="s">
        <v>40</v>
      </c>
      <c r="K89" s="43" t="s">
        <v>372</v>
      </c>
      <c r="L89" s="44">
        <v>90278.05</v>
      </c>
      <c r="M89" s="44">
        <v>87720.13</v>
      </c>
      <c r="N89" s="43"/>
      <c r="O89" s="42" t="s">
        <v>16</v>
      </c>
    </row>
    <row r="90" spans="1:15" ht="15.75" customHeight="1" x14ac:dyDescent="0.3">
      <c r="A90" s="40" t="s">
        <v>373</v>
      </c>
      <c r="B90" s="40" t="s">
        <v>374</v>
      </c>
      <c r="C90" s="40">
        <v>71</v>
      </c>
      <c r="D90" s="40" t="s">
        <v>115</v>
      </c>
      <c r="E90" s="41">
        <v>37.299999999999997</v>
      </c>
      <c r="F90" s="40" t="s">
        <v>116</v>
      </c>
      <c r="G90" s="40">
        <v>0</v>
      </c>
      <c r="H90" s="40" t="s">
        <v>63</v>
      </c>
      <c r="I90" s="40" t="s">
        <v>32</v>
      </c>
      <c r="J90" s="40" t="s">
        <v>50</v>
      </c>
      <c r="K90" s="40" t="s">
        <v>375</v>
      </c>
      <c r="L90" s="41">
        <v>56068.57</v>
      </c>
      <c r="M90" s="41">
        <v>52860.72</v>
      </c>
      <c r="N90" s="40"/>
      <c r="O90" s="42" t="s">
        <v>16</v>
      </c>
    </row>
    <row r="91" spans="1:15" ht="15.75" customHeight="1" x14ac:dyDescent="0.3">
      <c r="A91" s="43" t="s">
        <v>376</v>
      </c>
      <c r="B91" s="43" t="s">
        <v>377</v>
      </c>
      <c r="C91" s="43">
        <v>41</v>
      </c>
      <c r="D91" s="43" t="s">
        <v>120</v>
      </c>
      <c r="E91" s="44">
        <v>17.3</v>
      </c>
      <c r="F91" s="43" t="s">
        <v>128</v>
      </c>
      <c r="G91" s="43">
        <v>4</v>
      </c>
      <c r="H91" s="43" t="s">
        <v>57</v>
      </c>
      <c r="I91" s="43" t="s">
        <v>31</v>
      </c>
      <c r="J91" s="43" t="s">
        <v>46</v>
      </c>
      <c r="K91" s="43" t="s">
        <v>378</v>
      </c>
      <c r="L91" s="44">
        <v>104240.18</v>
      </c>
      <c r="M91" s="44">
        <v>69520</v>
      </c>
      <c r="N91" s="43"/>
      <c r="O91" s="46" t="s">
        <v>17</v>
      </c>
    </row>
    <row r="92" spans="1:15" ht="15.75" customHeight="1" x14ac:dyDescent="0.3">
      <c r="A92" s="40" t="s">
        <v>379</v>
      </c>
      <c r="B92" s="40" t="s">
        <v>380</v>
      </c>
      <c r="C92" s="40">
        <v>84</v>
      </c>
      <c r="D92" s="40" t="s">
        <v>124</v>
      </c>
      <c r="E92" s="41">
        <v>32.700000000000003</v>
      </c>
      <c r="F92" s="40" t="s">
        <v>116</v>
      </c>
      <c r="G92" s="40">
        <v>3</v>
      </c>
      <c r="H92" s="40" t="s">
        <v>65</v>
      </c>
      <c r="I92" s="40" t="s">
        <v>30</v>
      </c>
      <c r="J92" s="40" t="s">
        <v>42</v>
      </c>
      <c r="K92" s="40" t="s">
        <v>381</v>
      </c>
      <c r="L92" s="41">
        <v>1492.17</v>
      </c>
      <c r="M92" s="41">
        <v>1146.5999999999999</v>
      </c>
      <c r="N92" s="40" t="s">
        <v>75</v>
      </c>
      <c r="O92" s="42" t="s">
        <v>16</v>
      </c>
    </row>
    <row r="93" spans="1:15" ht="15.75" customHeight="1" x14ac:dyDescent="0.3">
      <c r="A93" s="43" t="s">
        <v>382</v>
      </c>
      <c r="B93" s="43" t="s">
        <v>191</v>
      </c>
      <c r="C93" s="43">
        <v>48</v>
      </c>
      <c r="D93" s="43" t="s">
        <v>124</v>
      </c>
      <c r="E93" s="44">
        <v>36.200000000000003</v>
      </c>
      <c r="F93" s="43" t="s">
        <v>128</v>
      </c>
      <c r="G93" s="43">
        <v>1</v>
      </c>
      <c r="H93" s="43" t="s">
        <v>63</v>
      </c>
      <c r="I93" s="43" t="s">
        <v>32</v>
      </c>
      <c r="J93" s="43" t="s">
        <v>42</v>
      </c>
      <c r="K93" s="43" t="s">
        <v>383</v>
      </c>
      <c r="L93" s="44">
        <v>58487.62</v>
      </c>
      <c r="M93" s="44">
        <v>37903.79</v>
      </c>
      <c r="N93" s="43"/>
      <c r="O93" s="42" t="s">
        <v>16</v>
      </c>
    </row>
    <row r="94" spans="1:15" ht="15.75" customHeight="1" x14ac:dyDescent="0.3">
      <c r="A94" s="40" t="s">
        <v>384</v>
      </c>
      <c r="B94" s="40" t="s">
        <v>385</v>
      </c>
      <c r="C94" s="40">
        <v>76</v>
      </c>
      <c r="D94" s="40" t="s">
        <v>115</v>
      </c>
      <c r="E94" s="41">
        <v>43.5</v>
      </c>
      <c r="F94" s="40" t="s">
        <v>116</v>
      </c>
      <c r="G94" s="40">
        <v>0</v>
      </c>
      <c r="H94" s="40" t="s">
        <v>61</v>
      </c>
      <c r="I94" s="40" t="s">
        <v>28</v>
      </c>
      <c r="J94" s="40" t="s">
        <v>50</v>
      </c>
      <c r="K94" s="40" t="s">
        <v>386</v>
      </c>
      <c r="L94" s="41">
        <v>42728.62</v>
      </c>
      <c r="M94" s="41">
        <v>34699.919999999998</v>
      </c>
      <c r="N94" s="40"/>
      <c r="O94" s="42" t="s">
        <v>16</v>
      </c>
    </row>
    <row r="95" spans="1:15" ht="15.75" customHeight="1" x14ac:dyDescent="0.3">
      <c r="A95" s="43" t="s">
        <v>387</v>
      </c>
      <c r="B95" s="43" t="s">
        <v>218</v>
      </c>
      <c r="C95" s="43">
        <v>42</v>
      </c>
      <c r="D95" s="43" t="s">
        <v>120</v>
      </c>
      <c r="E95" s="44">
        <v>17.899999999999999</v>
      </c>
      <c r="F95" s="43" t="s">
        <v>116</v>
      </c>
      <c r="G95" s="43">
        <v>1</v>
      </c>
      <c r="H95" s="43" t="s">
        <v>61</v>
      </c>
      <c r="I95" s="43" t="s">
        <v>32</v>
      </c>
      <c r="J95" s="43" t="s">
        <v>47</v>
      </c>
      <c r="K95" s="43" t="s">
        <v>388</v>
      </c>
      <c r="L95" s="44">
        <v>59973.7</v>
      </c>
      <c r="M95" s="44">
        <v>40741.82</v>
      </c>
      <c r="N95" s="43"/>
      <c r="O95" s="42" t="s">
        <v>16</v>
      </c>
    </row>
    <row r="96" spans="1:15" ht="15.75" customHeight="1" x14ac:dyDescent="0.3">
      <c r="A96" s="40" t="s">
        <v>389</v>
      </c>
      <c r="B96" s="40" t="s">
        <v>185</v>
      </c>
      <c r="C96" s="40">
        <v>34</v>
      </c>
      <c r="D96" s="40" t="s">
        <v>120</v>
      </c>
      <c r="E96" s="41">
        <v>48.8</v>
      </c>
      <c r="F96" s="40" t="s">
        <v>116</v>
      </c>
      <c r="G96" s="40">
        <v>1</v>
      </c>
      <c r="H96" s="40" t="s">
        <v>65</v>
      </c>
      <c r="I96" s="40" t="s">
        <v>28</v>
      </c>
      <c r="J96" s="40" t="s">
        <v>47</v>
      </c>
      <c r="K96" s="40" t="s">
        <v>390</v>
      </c>
      <c r="L96" s="41">
        <v>89892.98</v>
      </c>
      <c r="M96" s="41">
        <v>65942.850000000006</v>
      </c>
      <c r="N96" s="40" t="s">
        <v>75</v>
      </c>
      <c r="O96" s="42" t="s">
        <v>16</v>
      </c>
    </row>
    <row r="97" spans="1:15" ht="15.75" customHeight="1" x14ac:dyDescent="0.3">
      <c r="A97" s="43" t="s">
        <v>391</v>
      </c>
      <c r="B97" s="43" t="s">
        <v>392</v>
      </c>
      <c r="C97" s="43">
        <v>77</v>
      </c>
      <c r="D97" s="43" t="s">
        <v>124</v>
      </c>
      <c r="E97" s="44">
        <v>36</v>
      </c>
      <c r="F97" s="43" t="s">
        <v>116</v>
      </c>
      <c r="G97" s="43">
        <v>4</v>
      </c>
      <c r="H97" s="43" t="s">
        <v>57</v>
      </c>
      <c r="I97" s="43" t="s">
        <v>30</v>
      </c>
      <c r="J97" s="43" t="s">
        <v>46</v>
      </c>
      <c r="K97" s="43" t="s">
        <v>210</v>
      </c>
      <c r="L97" s="44">
        <v>86041.89</v>
      </c>
      <c r="M97" s="44">
        <v>82261.61</v>
      </c>
      <c r="N97" s="43"/>
      <c r="O97" s="42" t="s">
        <v>16</v>
      </c>
    </row>
    <row r="98" spans="1:15" ht="15.75" customHeight="1" x14ac:dyDescent="0.3">
      <c r="A98" s="40" t="s">
        <v>393</v>
      </c>
      <c r="B98" s="40" t="s">
        <v>374</v>
      </c>
      <c r="C98" s="40">
        <v>46</v>
      </c>
      <c r="D98" s="40" t="s">
        <v>115</v>
      </c>
      <c r="E98" s="41">
        <v>23.6</v>
      </c>
      <c r="F98" s="40" t="s">
        <v>128</v>
      </c>
      <c r="G98" s="40">
        <v>2</v>
      </c>
      <c r="H98" s="40" t="s">
        <v>65</v>
      </c>
      <c r="I98" s="40" t="s">
        <v>32</v>
      </c>
      <c r="J98" s="40" t="s">
        <v>42</v>
      </c>
      <c r="K98" s="40" t="s">
        <v>394</v>
      </c>
      <c r="L98" s="41">
        <v>27899.79</v>
      </c>
      <c r="M98" s="41">
        <v>26280.75</v>
      </c>
      <c r="N98" s="40"/>
      <c r="O98" s="42" t="s">
        <v>16</v>
      </c>
    </row>
    <row r="99" spans="1:15" ht="15.75" customHeight="1" x14ac:dyDescent="0.3">
      <c r="A99" s="43" t="s">
        <v>395</v>
      </c>
      <c r="B99" s="43" t="s">
        <v>396</v>
      </c>
      <c r="C99" s="43">
        <v>60</v>
      </c>
      <c r="D99" s="43" t="s">
        <v>120</v>
      </c>
      <c r="E99" s="44">
        <v>17.899999999999999</v>
      </c>
      <c r="F99" s="43" t="s">
        <v>116</v>
      </c>
      <c r="G99" s="43">
        <v>0</v>
      </c>
      <c r="H99" s="43" t="s">
        <v>59</v>
      </c>
      <c r="I99" s="43" t="s">
        <v>28</v>
      </c>
      <c r="J99" s="43" t="s">
        <v>50</v>
      </c>
      <c r="K99" s="43" t="s">
        <v>397</v>
      </c>
      <c r="L99" s="44">
        <v>18946</v>
      </c>
      <c r="M99" s="44">
        <v>13344.54</v>
      </c>
      <c r="N99" s="43" t="s">
        <v>73</v>
      </c>
      <c r="O99" s="42" t="s">
        <v>16</v>
      </c>
    </row>
    <row r="100" spans="1:15" ht="15.75" customHeight="1" x14ac:dyDescent="0.3">
      <c r="A100" s="40" t="s">
        <v>398</v>
      </c>
      <c r="B100" s="40" t="s">
        <v>399</v>
      </c>
      <c r="C100" s="40">
        <v>73</v>
      </c>
      <c r="D100" s="40" t="s">
        <v>115</v>
      </c>
      <c r="E100" s="41">
        <v>37.5</v>
      </c>
      <c r="F100" s="40" t="s">
        <v>128</v>
      </c>
      <c r="G100" s="40">
        <v>0</v>
      </c>
      <c r="H100" s="40" t="s">
        <v>59</v>
      </c>
      <c r="I100" s="40" t="s">
        <v>30</v>
      </c>
      <c r="J100" s="40" t="s">
        <v>47</v>
      </c>
      <c r="K100" s="40" t="s">
        <v>400</v>
      </c>
      <c r="L100" s="41">
        <v>65338.41</v>
      </c>
      <c r="M100" s="41">
        <v>46744.24</v>
      </c>
      <c r="N100" s="40"/>
      <c r="O100" s="46" t="s">
        <v>17</v>
      </c>
    </row>
    <row r="101" spans="1:15" ht="15.75" customHeight="1" x14ac:dyDescent="0.3">
      <c r="A101" s="43" t="s">
        <v>401</v>
      </c>
      <c r="B101" s="43" t="s">
        <v>322</v>
      </c>
      <c r="C101" s="43">
        <v>45</v>
      </c>
      <c r="D101" s="43" t="s">
        <v>124</v>
      </c>
      <c r="E101" s="44">
        <v>37.799999999999997</v>
      </c>
      <c r="F101" s="43" t="s">
        <v>116</v>
      </c>
      <c r="G101" s="43">
        <v>1</v>
      </c>
      <c r="H101" s="43" t="s">
        <v>59</v>
      </c>
      <c r="I101" s="43" t="s">
        <v>32</v>
      </c>
      <c r="J101" s="43" t="s">
        <v>46</v>
      </c>
      <c r="K101" s="43" t="s">
        <v>353</v>
      </c>
      <c r="L101" s="44">
        <v>92388.96</v>
      </c>
      <c r="M101" s="44">
        <v>61255.360000000001</v>
      </c>
      <c r="N101" s="43"/>
      <c r="O101" s="42" t="s">
        <v>16</v>
      </c>
    </row>
    <row r="102" spans="1:15" ht="15.75" customHeight="1" x14ac:dyDescent="0.3">
      <c r="A102" s="40" t="s">
        <v>402</v>
      </c>
      <c r="B102" s="40" t="s">
        <v>403</v>
      </c>
      <c r="C102" s="40">
        <v>45</v>
      </c>
      <c r="D102" s="40" t="s">
        <v>124</v>
      </c>
      <c r="E102" s="41">
        <v>19.5</v>
      </c>
      <c r="F102" s="40" t="s">
        <v>128</v>
      </c>
      <c r="G102" s="40">
        <v>4</v>
      </c>
      <c r="H102" s="40" t="s">
        <v>59</v>
      </c>
      <c r="I102" s="40" t="s">
        <v>32</v>
      </c>
      <c r="J102" s="40" t="s">
        <v>44</v>
      </c>
      <c r="K102" s="40" t="s">
        <v>404</v>
      </c>
      <c r="L102" s="41">
        <v>119890.1</v>
      </c>
      <c r="M102" s="41">
        <v>96424.49</v>
      </c>
      <c r="N102" s="40"/>
      <c r="O102" s="42" t="s">
        <v>16</v>
      </c>
    </row>
    <row r="103" spans="1:15" ht="15.75" customHeight="1" x14ac:dyDescent="0.3">
      <c r="A103" s="43" t="s">
        <v>405</v>
      </c>
      <c r="B103" s="43" t="s">
        <v>406</v>
      </c>
      <c r="C103" s="43">
        <v>84</v>
      </c>
      <c r="D103" s="43" t="s">
        <v>124</v>
      </c>
      <c r="E103" s="44">
        <v>25.9</v>
      </c>
      <c r="F103" s="43" t="s">
        <v>116</v>
      </c>
      <c r="G103" s="43">
        <v>3</v>
      </c>
      <c r="H103" s="43" t="s">
        <v>63</v>
      </c>
      <c r="I103" s="43" t="s">
        <v>32</v>
      </c>
      <c r="J103" s="43" t="s">
        <v>46</v>
      </c>
      <c r="K103" s="43" t="s">
        <v>407</v>
      </c>
      <c r="L103" s="44">
        <v>532.4</v>
      </c>
      <c r="M103" s="44">
        <v>509.12</v>
      </c>
      <c r="N103" s="43" t="s">
        <v>75</v>
      </c>
      <c r="O103" s="42" t="s">
        <v>16</v>
      </c>
    </row>
    <row r="104" spans="1:15" ht="15.75" customHeight="1" x14ac:dyDescent="0.3">
      <c r="A104" s="40" t="s">
        <v>408</v>
      </c>
      <c r="B104" s="40" t="s">
        <v>409</v>
      </c>
      <c r="C104" s="40">
        <v>26</v>
      </c>
      <c r="D104" s="40" t="s">
        <v>120</v>
      </c>
      <c r="E104" s="41">
        <v>18.5</v>
      </c>
      <c r="F104" s="40" t="s">
        <v>128</v>
      </c>
      <c r="G104" s="40">
        <v>0</v>
      </c>
      <c r="H104" s="40" t="s">
        <v>57</v>
      </c>
      <c r="I104" s="40" t="s">
        <v>29</v>
      </c>
      <c r="J104" s="40" t="s">
        <v>50</v>
      </c>
      <c r="K104" s="40" t="s">
        <v>410</v>
      </c>
      <c r="L104" s="41">
        <v>35550.04</v>
      </c>
      <c r="M104" s="41">
        <v>18617.330000000002</v>
      </c>
      <c r="N104" s="40"/>
      <c r="O104" s="46" t="s">
        <v>17</v>
      </c>
    </row>
    <row r="105" spans="1:15" ht="15.75" customHeight="1" x14ac:dyDescent="0.3">
      <c r="A105" s="43" t="s">
        <v>411</v>
      </c>
      <c r="B105" s="43" t="s">
        <v>412</v>
      </c>
      <c r="C105" s="43">
        <v>21</v>
      </c>
      <c r="D105" s="43" t="s">
        <v>124</v>
      </c>
      <c r="E105" s="44">
        <v>45.4</v>
      </c>
      <c r="F105" s="43" t="s">
        <v>116</v>
      </c>
      <c r="G105" s="43">
        <v>2</v>
      </c>
      <c r="H105" s="43" t="s">
        <v>57</v>
      </c>
      <c r="I105" s="43" t="s">
        <v>31</v>
      </c>
      <c r="J105" s="43" t="s">
        <v>47</v>
      </c>
      <c r="K105" s="43" t="s">
        <v>413</v>
      </c>
      <c r="L105" s="44">
        <v>99496.12</v>
      </c>
      <c r="M105" s="44">
        <v>67626.75</v>
      </c>
      <c r="N105" s="43"/>
      <c r="O105" s="42" t="s">
        <v>16</v>
      </c>
    </row>
    <row r="106" spans="1:15" ht="15.75" customHeight="1" x14ac:dyDescent="0.3">
      <c r="A106" s="40" t="s">
        <v>414</v>
      </c>
      <c r="B106" s="40" t="s">
        <v>415</v>
      </c>
      <c r="C106" s="40">
        <v>50</v>
      </c>
      <c r="D106" s="40" t="s">
        <v>124</v>
      </c>
      <c r="E106" s="41">
        <v>23.5</v>
      </c>
      <c r="F106" s="40" t="s">
        <v>128</v>
      </c>
      <c r="G106" s="40">
        <v>4</v>
      </c>
      <c r="H106" s="40" t="s">
        <v>65</v>
      </c>
      <c r="I106" s="40" t="s">
        <v>28</v>
      </c>
      <c r="J106" s="40" t="s">
        <v>46</v>
      </c>
      <c r="K106" s="40" t="s">
        <v>219</v>
      </c>
      <c r="L106" s="41">
        <v>62577.19</v>
      </c>
      <c r="M106" s="41">
        <v>62355.27</v>
      </c>
      <c r="N106" s="40" t="s">
        <v>75</v>
      </c>
      <c r="O106" s="42" t="s">
        <v>16</v>
      </c>
    </row>
    <row r="107" spans="1:15" ht="15.75" customHeight="1" x14ac:dyDescent="0.3">
      <c r="A107" s="43" t="s">
        <v>416</v>
      </c>
      <c r="B107" s="43" t="s">
        <v>417</v>
      </c>
      <c r="C107" s="43">
        <v>82</v>
      </c>
      <c r="D107" s="43" t="s">
        <v>120</v>
      </c>
      <c r="E107" s="44">
        <v>30.9</v>
      </c>
      <c r="F107" s="43" t="s">
        <v>116</v>
      </c>
      <c r="G107" s="43">
        <v>3</v>
      </c>
      <c r="H107" s="43" t="s">
        <v>65</v>
      </c>
      <c r="I107" s="43" t="s">
        <v>31</v>
      </c>
      <c r="J107" s="43" t="s">
        <v>42</v>
      </c>
      <c r="K107" s="43" t="s">
        <v>418</v>
      </c>
      <c r="L107" s="44">
        <v>12865.47</v>
      </c>
      <c r="M107" s="44">
        <v>7636.42</v>
      </c>
      <c r="N107" s="43"/>
      <c r="O107" s="46" t="s">
        <v>17</v>
      </c>
    </row>
    <row r="108" spans="1:15" ht="15.75" customHeight="1" x14ac:dyDescent="0.3">
      <c r="A108" s="40" t="s">
        <v>419</v>
      </c>
      <c r="B108" s="40" t="s">
        <v>420</v>
      </c>
      <c r="C108" s="40">
        <v>67</v>
      </c>
      <c r="D108" s="40" t="s">
        <v>115</v>
      </c>
      <c r="E108" s="41">
        <v>37.5</v>
      </c>
      <c r="F108" s="40" t="s">
        <v>128</v>
      </c>
      <c r="G108" s="40">
        <v>0</v>
      </c>
      <c r="H108" s="40" t="s">
        <v>65</v>
      </c>
      <c r="I108" s="40" t="s">
        <v>32</v>
      </c>
      <c r="J108" s="40" t="s">
        <v>49</v>
      </c>
      <c r="K108" s="40" t="s">
        <v>421</v>
      </c>
      <c r="L108" s="41">
        <v>26608.55</v>
      </c>
      <c r="M108" s="41">
        <v>22142.55</v>
      </c>
      <c r="N108" s="40" t="s">
        <v>73</v>
      </c>
      <c r="O108" s="42" t="s">
        <v>16</v>
      </c>
    </row>
    <row r="109" spans="1:15" ht="15.75" customHeight="1" x14ac:dyDescent="0.3">
      <c r="A109" s="43" t="s">
        <v>422</v>
      </c>
      <c r="B109" s="43" t="s">
        <v>423</v>
      </c>
      <c r="C109" s="43">
        <v>21</v>
      </c>
      <c r="D109" s="43" t="s">
        <v>124</v>
      </c>
      <c r="E109" s="44">
        <v>21.8</v>
      </c>
      <c r="F109" s="43" t="s">
        <v>116</v>
      </c>
      <c r="G109" s="43">
        <v>0</v>
      </c>
      <c r="H109" s="43" t="s">
        <v>61</v>
      </c>
      <c r="I109" s="43" t="s">
        <v>30</v>
      </c>
      <c r="J109" s="43" t="s">
        <v>44</v>
      </c>
      <c r="K109" s="43" t="s">
        <v>424</v>
      </c>
      <c r="L109" s="44">
        <v>44041.74</v>
      </c>
      <c r="M109" s="44">
        <v>24807.68</v>
      </c>
      <c r="N109" s="43" t="s">
        <v>75</v>
      </c>
      <c r="O109" s="46" t="s">
        <v>17</v>
      </c>
    </row>
    <row r="110" spans="1:15" ht="15.75" customHeight="1" x14ac:dyDescent="0.3">
      <c r="A110" s="40" t="s">
        <v>425</v>
      </c>
      <c r="B110" s="40" t="s">
        <v>426</v>
      </c>
      <c r="C110" s="40">
        <v>71</v>
      </c>
      <c r="D110" s="40" t="s">
        <v>115</v>
      </c>
      <c r="E110" s="41">
        <v>39.200000000000003</v>
      </c>
      <c r="F110" s="40" t="s">
        <v>116</v>
      </c>
      <c r="G110" s="40">
        <v>2</v>
      </c>
      <c r="H110" s="40" t="s">
        <v>63</v>
      </c>
      <c r="I110" s="40" t="s">
        <v>32</v>
      </c>
      <c r="J110" s="40" t="s">
        <v>50</v>
      </c>
      <c r="K110" s="40" t="s">
        <v>427</v>
      </c>
      <c r="L110" s="41">
        <v>119755.92</v>
      </c>
      <c r="M110" s="41">
        <v>73106.210000000006</v>
      </c>
      <c r="N110" s="40"/>
      <c r="O110" s="42" t="s">
        <v>16</v>
      </c>
    </row>
    <row r="111" spans="1:15" ht="15.75" customHeight="1" x14ac:dyDescent="0.3">
      <c r="A111" s="43" t="s">
        <v>428</v>
      </c>
      <c r="B111" s="43" t="s">
        <v>429</v>
      </c>
      <c r="C111" s="43">
        <v>22</v>
      </c>
      <c r="D111" s="43" t="s">
        <v>120</v>
      </c>
      <c r="E111" s="44">
        <v>33.4</v>
      </c>
      <c r="F111" s="43" t="s">
        <v>116</v>
      </c>
      <c r="G111" s="43">
        <v>0</v>
      </c>
      <c r="H111" s="43" t="s">
        <v>63</v>
      </c>
      <c r="I111" s="43" t="s">
        <v>29</v>
      </c>
      <c r="J111" s="43" t="s">
        <v>46</v>
      </c>
      <c r="K111" s="43" t="s">
        <v>430</v>
      </c>
      <c r="L111" s="44">
        <v>68007.240000000005</v>
      </c>
      <c r="M111" s="44">
        <v>64227.61</v>
      </c>
      <c r="N111" s="43" t="s">
        <v>73</v>
      </c>
      <c r="O111" s="46" t="s">
        <v>17</v>
      </c>
    </row>
    <row r="112" spans="1:15" ht="15.75" customHeight="1" x14ac:dyDescent="0.3">
      <c r="A112" s="40" t="s">
        <v>431</v>
      </c>
      <c r="B112" s="40" t="s">
        <v>432</v>
      </c>
      <c r="C112" s="40">
        <v>69</v>
      </c>
      <c r="D112" s="40" t="s">
        <v>115</v>
      </c>
      <c r="E112" s="41">
        <v>39.1</v>
      </c>
      <c r="F112" s="40" t="s">
        <v>116</v>
      </c>
      <c r="G112" s="40">
        <v>1</v>
      </c>
      <c r="H112" s="40" t="s">
        <v>63</v>
      </c>
      <c r="I112" s="40" t="s">
        <v>30</v>
      </c>
      <c r="J112" s="40" t="s">
        <v>42</v>
      </c>
      <c r="K112" s="40" t="s">
        <v>433</v>
      </c>
      <c r="L112" s="41">
        <v>49664.77</v>
      </c>
      <c r="M112" s="41">
        <v>43528.26</v>
      </c>
      <c r="N112" s="40"/>
      <c r="O112" s="42" t="s">
        <v>16</v>
      </c>
    </row>
    <row r="113" spans="1:15" ht="15.75" customHeight="1" x14ac:dyDescent="0.3">
      <c r="A113" s="43" t="s">
        <v>434</v>
      </c>
      <c r="B113" s="43" t="s">
        <v>435</v>
      </c>
      <c r="C113" s="43">
        <v>19</v>
      </c>
      <c r="D113" s="43" t="s">
        <v>120</v>
      </c>
      <c r="E113" s="44">
        <v>40.799999999999997</v>
      </c>
      <c r="F113" s="43" t="s">
        <v>128</v>
      </c>
      <c r="G113" s="43">
        <v>2</v>
      </c>
      <c r="H113" s="43" t="s">
        <v>57</v>
      </c>
      <c r="I113" s="43" t="s">
        <v>31</v>
      </c>
      <c r="J113" s="43" t="s">
        <v>42</v>
      </c>
      <c r="K113" s="43" t="s">
        <v>436</v>
      </c>
      <c r="L113" s="44">
        <v>83356.570000000007</v>
      </c>
      <c r="M113" s="44">
        <v>82383.710000000006</v>
      </c>
      <c r="N113" s="43"/>
      <c r="O113" s="42" t="s">
        <v>16</v>
      </c>
    </row>
    <row r="114" spans="1:15" ht="15.75" customHeight="1" x14ac:dyDescent="0.3">
      <c r="A114" s="40" t="s">
        <v>437</v>
      </c>
      <c r="B114" s="40" t="s">
        <v>143</v>
      </c>
      <c r="C114" s="40">
        <v>32</v>
      </c>
      <c r="D114" s="40" t="s">
        <v>115</v>
      </c>
      <c r="E114" s="41">
        <v>23.4</v>
      </c>
      <c r="F114" s="40" t="s">
        <v>116</v>
      </c>
      <c r="G114" s="40">
        <v>3</v>
      </c>
      <c r="H114" s="40" t="s">
        <v>59</v>
      </c>
      <c r="I114" s="40" t="s">
        <v>29</v>
      </c>
      <c r="J114" s="40" t="s">
        <v>48</v>
      </c>
      <c r="K114" s="40" t="s">
        <v>438</v>
      </c>
      <c r="L114" s="41">
        <v>40253.53</v>
      </c>
      <c r="M114" s="41">
        <v>24980.51</v>
      </c>
      <c r="N114" s="40"/>
      <c r="O114" s="42" t="s">
        <v>16</v>
      </c>
    </row>
    <row r="115" spans="1:15" ht="15.75" customHeight="1" x14ac:dyDescent="0.3">
      <c r="A115" s="43" t="s">
        <v>439</v>
      </c>
      <c r="B115" s="43" t="s">
        <v>415</v>
      </c>
      <c r="C115" s="43">
        <v>53</v>
      </c>
      <c r="D115" s="43" t="s">
        <v>124</v>
      </c>
      <c r="E115" s="44"/>
      <c r="F115" s="43" t="s">
        <v>116</v>
      </c>
      <c r="G115" s="43">
        <v>2</v>
      </c>
      <c r="H115" s="43" t="s">
        <v>59</v>
      </c>
      <c r="I115" s="43" t="s">
        <v>31</v>
      </c>
      <c r="J115" s="43" t="s">
        <v>44</v>
      </c>
      <c r="K115" s="43" t="s">
        <v>440</v>
      </c>
      <c r="L115" s="44">
        <v>38921.39</v>
      </c>
      <c r="M115" s="44">
        <v>27283.63</v>
      </c>
      <c r="N115" s="43" t="s">
        <v>74</v>
      </c>
      <c r="O115" s="45" t="s">
        <v>18</v>
      </c>
    </row>
    <row r="116" spans="1:15" ht="15.75" customHeight="1" x14ac:dyDescent="0.3">
      <c r="A116" s="40" t="s">
        <v>441</v>
      </c>
      <c r="B116" s="40" t="s">
        <v>442</v>
      </c>
      <c r="C116" s="40">
        <v>53</v>
      </c>
      <c r="D116" s="40" t="s">
        <v>115</v>
      </c>
      <c r="E116" s="41">
        <v>20.8</v>
      </c>
      <c r="F116" s="40" t="s">
        <v>128</v>
      </c>
      <c r="G116" s="40">
        <v>4</v>
      </c>
      <c r="H116" s="40" t="s">
        <v>63</v>
      </c>
      <c r="I116" s="40" t="s">
        <v>31</v>
      </c>
      <c r="J116" s="40" t="s">
        <v>40</v>
      </c>
      <c r="K116" s="40" t="s">
        <v>443</v>
      </c>
      <c r="L116" s="41">
        <v>16176.4</v>
      </c>
      <c r="M116" s="41">
        <v>10859.17</v>
      </c>
      <c r="N116" s="40"/>
      <c r="O116" s="46" t="s">
        <v>17</v>
      </c>
    </row>
    <row r="117" spans="1:15" ht="15.75" customHeight="1" x14ac:dyDescent="0.3">
      <c r="A117" s="43" t="s">
        <v>444</v>
      </c>
      <c r="B117" s="43" t="s">
        <v>445</v>
      </c>
      <c r="C117" s="43">
        <v>45</v>
      </c>
      <c r="D117" s="43" t="s">
        <v>120</v>
      </c>
      <c r="E117" s="44">
        <v>35.1</v>
      </c>
      <c r="F117" s="43" t="s">
        <v>128</v>
      </c>
      <c r="G117" s="43">
        <v>4</v>
      </c>
      <c r="H117" s="43" t="s">
        <v>59</v>
      </c>
      <c r="I117" s="43" t="s">
        <v>30</v>
      </c>
      <c r="J117" s="43" t="s">
        <v>44</v>
      </c>
      <c r="K117" s="43" t="s">
        <v>446</v>
      </c>
      <c r="L117" s="44">
        <v>65914.84</v>
      </c>
      <c r="M117" s="44">
        <v>42315.45</v>
      </c>
      <c r="N117" s="43" t="s">
        <v>73</v>
      </c>
      <c r="O117" s="46" t="s">
        <v>17</v>
      </c>
    </row>
    <row r="118" spans="1:15" ht="15.75" customHeight="1" x14ac:dyDescent="0.3">
      <c r="A118" s="40" t="s">
        <v>447</v>
      </c>
      <c r="B118" s="40" t="s">
        <v>161</v>
      </c>
      <c r="C118" s="40">
        <v>27</v>
      </c>
      <c r="D118" s="40" t="s">
        <v>124</v>
      </c>
      <c r="E118" s="41">
        <v>33.9</v>
      </c>
      <c r="F118" s="40" t="s">
        <v>128</v>
      </c>
      <c r="G118" s="40">
        <v>2</v>
      </c>
      <c r="H118" s="40" t="s">
        <v>57</v>
      </c>
      <c r="I118" s="40" t="s">
        <v>31</v>
      </c>
      <c r="J118" s="40" t="s">
        <v>44</v>
      </c>
      <c r="K118" s="40" t="s">
        <v>448</v>
      </c>
      <c r="L118" s="41">
        <v>98392.89</v>
      </c>
      <c r="M118" s="41">
        <v>93814.07</v>
      </c>
      <c r="N118" s="40"/>
      <c r="O118" s="42" t="s">
        <v>16</v>
      </c>
    </row>
    <row r="119" spans="1:15" ht="15.75" customHeight="1" x14ac:dyDescent="0.3">
      <c r="A119" s="43" t="s">
        <v>449</v>
      </c>
      <c r="B119" s="43" t="s">
        <v>450</v>
      </c>
      <c r="C119" s="43">
        <v>74</v>
      </c>
      <c r="D119" s="43" t="s">
        <v>115</v>
      </c>
      <c r="E119" s="44">
        <v>44.1</v>
      </c>
      <c r="F119" s="43" t="s">
        <v>116</v>
      </c>
      <c r="G119" s="43">
        <v>0</v>
      </c>
      <c r="H119" s="43" t="s">
        <v>57</v>
      </c>
      <c r="I119" s="43" t="s">
        <v>28</v>
      </c>
      <c r="J119" s="43" t="s">
        <v>48</v>
      </c>
      <c r="K119" s="43" t="s">
        <v>451</v>
      </c>
      <c r="L119" s="44">
        <v>61476.91</v>
      </c>
      <c r="M119" s="44">
        <v>34212.160000000003</v>
      </c>
      <c r="N119" s="43" t="s">
        <v>75</v>
      </c>
      <c r="O119" s="42" t="s">
        <v>16</v>
      </c>
    </row>
    <row r="120" spans="1:15" ht="15.75" customHeight="1" x14ac:dyDescent="0.3">
      <c r="A120" s="40" t="s">
        <v>452</v>
      </c>
      <c r="B120" s="40" t="s">
        <v>453</v>
      </c>
      <c r="C120" s="40">
        <v>24</v>
      </c>
      <c r="D120" s="40" t="s">
        <v>115</v>
      </c>
      <c r="E120" s="41">
        <v>19.8</v>
      </c>
      <c r="F120" s="40" t="s">
        <v>116</v>
      </c>
      <c r="G120" s="40">
        <v>2</v>
      </c>
      <c r="H120" s="40" t="s">
        <v>61</v>
      </c>
      <c r="I120" s="40" t="s">
        <v>30</v>
      </c>
      <c r="J120" s="40" t="s">
        <v>40</v>
      </c>
      <c r="K120" s="40" t="s">
        <v>454</v>
      </c>
      <c r="L120" s="41">
        <v>118789.35</v>
      </c>
      <c r="M120" s="41">
        <v>117238.58</v>
      </c>
      <c r="N120" s="40" t="s">
        <v>74</v>
      </c>
      <c r="O120" s="42" t="s">
        <v>16</v>
      </c>
    </row>
    <row r="121" spans="1:15" ht="15.75" customHeight="1" x14ac:dyDescent="0.3">
      <c r="A121" s="43" t="s">
        <v>455</v>
      </c>
      <c r="B121" s="43" t="s">
        <v>456</v>
      </c>
      <c r="C121" s="43">
        <v>75</v>
      </c>
      <c r="D121" s="43" t="s">
        <v>115</v>
      </c>
      <c r="E121" s="44">
        <v>17.7</v>
      </c>
      <c r="F121" s="43" t="s">
        <v>116</v>
      </c>
      <c r="G121" s="43">
        <v>1</v>
      </c>
      <c r="H121" s="43" t="s">
        <v>59</v>
      </c>
      <c r="I121" s="43" t="s">
        <v>28</v>
      </c>
      <c r="J121" s="43" t="s">
        <v>44</v>
      </c>
      <c r="K121" s="43" t="s">
        <v>457</v>
      </c>
      <c r="L121" s="44">
        <v>76607.850000000006</v>
      </c>
      <c r="M121" s="44">
        <v>41750.400000000001</v>
      </c>
      <c r="N121" s="43" t="s">
        <v>74</v>
      </c>
      <c r="O121" s="45" t="s">
        <v>18</v>
      </c>
    </row>
    <row r="122" spans="1:15" ht="15.75" customHeight="1" x14ac:dyDescent="0.3">
      <c r="A122" s="40" t="s">
        <v>458</v>
      </c>
      <c r="B122" s="40" t="s">
        <v>459</v>
      </c>
      <c r="C122" s="40">
        <v>75</v>
      </c>
      <c r="D122" s="40" t="s">
        <v>124</v>
      </c>
      <c r="E122" s="41">
        <v>36.200000000000003</v>
      </c>
      <c r="F122" s="40" t="s">
        <v>116</v>
      </c>
      <c r="G122" s="40">
        <v>4</v>
      </c>
      <c r="H122" s="40" t="s">
        <v>59</v>
      </c>
      <c r="I122" s="40" t="s">
        <v>31</v>
      </c>
      <c r="J122" s="40" t="s">
        <v>48</v>
      </c>
      <c r="K122" s="40" t="s">
        <v>460</v>
      </c>
      <c r="L122" s="41">
        <v>65134.62</v>
      </c>
      <c r="M122" s="41">
        <v>57986.92</v>
      </c>
      <c r="N122" s="40" t="s">
        <v>73</v>
      </c>
      <c r="O122" s="46" t="s">
        <v>17</v>
      </c>
    </row>
    <row r="123" spans="1:15" ht="15.75" customHeight="1" x14ac:dyDescent="0.3">
      <c r="A123" s="43" t="s">
        <v>461</v>
      </c>
      <c r="B123" s="43" t="s">
        <v>462</v>
      </c>
      <c r="C123" s="43">
        <v>50</v>
      </c>
      <c r="D123" s="43" t="s">
        <v>120</v>
      </c>
      <c r="E123" s="44">
        <v>36.6</v>
      </c>
      <c r="F123" s="43" t="s">
        <v>128</v>
      </c>
      <c r="G123" s="43">
        <v>2</v>
      </c>
      <c r="H123" s="43" t="s">
        <v>63</v>
      </c>
      <c r="I123" s="43" t="s">
        <v>32</v>
      </c>
      <c r="J123" s="43" t="s">
        <v>50</v>
      </c>
      <c r="K123" s="43" t="s">
        <v>463</v>
      </c>
      <c r="L123" s="44">
        <v>60990.42</v>
      </c>
      <c r="M123" s="44">
        <v>31760.48</v>
      </c>
      <c r="N123" s="43"/>
      <c r="O123" s="42" t="s">
        <v>16</v>
      </c>
    </row>
    <row r="124" spans="1:15" ht="15.75" customHeight="1" x14ac:dyDescent="0.3">
      <c r="A124" s="40" t="s">
        <v>464</v>
      </c>
      <c r="B124" s="40" t="s">
        <v>465</v>
      </c>
      <c r="C124" s="40">
        <v>35</v>
      </c>
      <c r="D124" s="40" t="s">
        <v>120</v>
      </c>
      <c r="E124" s="41"/>
      <c r="F124" s="40" t="s">
        <v>128</v>
      </c>
      <c r="G124" s="40">
        <v>1</v>
      </c>
      <c r="H124" s="40" t="s">
        <v>61</v>
      </c>
      <c r="I124" s="40" t="s">
        <v>29</v>
      </c>
      <c r="J124" s="40" t="s">
        <v>48</v>
      </c>
      <c r="K124" s="40" t="s">
        <v>466</v>
      </c>
      <c r="L124" s="41">
        <v>9892.76</v>
      </c>
      <c r="M124" s="41">
        <v>6499.03</v>
      </c>
      <c r="N124" s="40" t="s">
        <v>75</v>
      </c>
      <c r="O124" s="42" t="s">
        <v>16</v>
      </c>
    </row>
    <row r="125" spans="1:15" ht="15.75" customHeight="1" x14ac:dyDescent="0.3">
      <c r="A125" s="43" t="s">
        <v>467</v>
      </c>
      <c r="B125" s="43" t="s">
        <v>468</v>
      </c>
      <c r="C125" s="43">
        <v>46</v>
      </c>
      <c r="D125" s="43" t="s">
        <v>120</v>
      </c>
      <c r="E125" s="44">
        <v>25.7</v>
      </c>
      <c r="F125" s="43" t="s">
        <v>116</v>
      </c>
      <c r="G125" s="43">
        <v>4</v>
      </c>
      <c r="H125" s="43" t="s">
        <v>63</v>
      </c>
      <c r="I125" s="43" t="s">
        <v>29</v>
      </c>
      <c r="J125" s="43" t="s">
        <v>49</v>
      </c>
      <c r="K125" s="43" t="s">
        <v>469</v>
      </c>
      <c r="L125" s="44">
        <v>117775.87</v>
      </c>
      <c r="M125" s="44">
        <v>86231.51</v>
      </c>
      <c r="N125" s="43" t="s">
        <v>74</v>
      </c>
      <c r="O125" s="42" t="s">
        <v>16</v>
      </c>
    </row>
    <row r="126" spans="1:15" ht="15.75" customHeight="1" x14ac:dyDescent="0.3">
      <c r="A126" s="40" t="s">
        <v>470</v>
      </c>
      <c r="B126" s="40" t="s">
        <v>471</v>
      </c>
      <c r="C126" s="40">
        <v>66</v>
      </c>
      <c r="D126" s="40" t="s">
        <v>115</v>
      </c>
      <c r="E126" s="41">
        <v>15.8</v>
      </c>
      <c r="F126" s="40" t="s">
        <v>116</v>
      </c>
      <c r="G126" s="40">
        <v>3</v>
      </c>
      <c r="H126" s="40" t="s">
        <v>65</v>
      </c>
      <c r="I126" s="40" t="s">
        <v>29</v>
      </c>
      <c r="J126" s="40" t="s">
        <v>40</v>
      </c>
      <c r="K126" s="40" t="s">
        <v>472</v>
      </c>
      <c r="L126" s="41">
        <v>103623.36</v>
      </c>
      <c r="M126" s="41">
        <v>55921.49</v>
      </c>
      <c r="N126" s="40" t="s">
        <v>75</v>
      </c>
      <c r="O126" s="45" t="s">
        <v>18</v>
      </c>
    </row>
    <row r="127" spans="1:15" ht="15.75" customHeight="1" x14ac:dyDescent="0.3">
      <c r="A127" s="43" t="s">
        <v>473</v>
      </c>
      <c r="B127" s="43" t="s">
        <v>474</v>
      </c>
      <c r="C127" s="43">
        <v>66</v>
      </c>
      <c r="D127" s="43" t="s">
        <v>120</v>
      </c>
      <c r="E127" s="44">
        <v>46.9</v>
      </c>
      <c r="F127" s="43" t="s">
        <v>116</v>
      </c>
      <c r="G127" s="43">
        <v>3</v>
      </c>
      <c r="H127" s="43" t="s">
        <v>59</v>
      </c>
      <c r="I127" s="43" t="s">
        <v>30</v>
      </c>
      <c r="J127" s="43" t="s">
        <v>40</v>
      </c>
      <c r="K127" s="43" t="s">
        <v>475</v>
      </c>
      <c r="L127" s="44">
        <v>18905.16</v>
      </c>
      <c r="M127" s="44">
        <v>10620.2</v>
      </c>
      <c r="N127" s="43"/>
      <c r="O127" s="42" t="s">
        <v>16</v>
      </c>
    </row>
    <row r="128" spans="1:15" ht="15.75" customHeight="1" x14ac:dyDescent="0.3">
      <c r="A128" s="40" t="s">
        <v>476</v>
      </c>
      <c r="B128" s="40" t="s">
        <v>477</v>
      </c>
      <c r="C128" s="40">
        <v>68</v>
      </c>
      <c r="D128" s="40" t="s">
        <v>120</v>
      </c>
      <c r="E128" s="41">
        <v>27.1</v>
      </c>
      <c r="F128" s="40" t="s">
        <v>116</v>
      </c>
      <c r="G128" s="40">
        <v>0</v>
      </c>
      <c r="H128" s="40" t="s">
        <v>63</v>
      </c>
      <c r="I128" s="40" t="s">
        <v>28</v>
      </c>
      <c r="J128" s="40" t="s">
        <v>40</v>
      </c>
      <c r="K128" s="40" t="s">
        <v>478</v>
      </c>
      <c r="L128" s="41">
        <v>117676.99</v>
      </c>
      <c r="M128" s="41">
        <v>96105.44</v>
      </c>
      <c r="N128" s="40" t="s">
        <v>75</v>
      </c>
      <c r="O128" s="46" t="s">
        <v>17</v>
      </c>
    </row>
    <row r="129" spans="1:15" ht="15.75" customHeight="1" x14ac:dyDescent="0.3">
      <c r="A129" s="43" t="s">
        <v>479</v>
      </c>
      <c r="B129" s="43" t="s">
        <v>442</v>
      </c>
      <c r="C129" s="43">
        <v>26</v>
      </c>
      <c r="D129" s="43" t="s">
        <v>120</v>
      </c>
      <c r="E129" s="44">
        <v>33.200000000000003</v>
      </c>
      <c r="F129" s="43" t="s">
        <v>128</v>
      </c>
      <c r="G129" s="43">
        <v>3</v>
      </c>
      <c r="H129" s="43" t="s">
        <v>59</v>
      </c>
      <c r="I129" s="43" t="s">
        <v>28</v>
      </c>
      <c r="J129" s="43" t="s">
        <v>40</v>
      </c>
      <c r="K129" s="43" t="s">
        <v>480</v>
      </c>
      <c r="L129" s="44">
        <v>20466.45</v>
      </c>
      <c r="M129" s="44">
        <v>11372.21</v>
      </c>
      <c r="N129" s="43" t="s">
        <v>73</v>
      </c>
      <c r="O129" s="45" t="s">
        <v>18</v>
      </c>
    </row>
    <row r="130" spans="1:15" ht="15.75" customHeight="1" x14ac:dyDescent="0.3">
      <c r="A130" s="40" t="s">
        <v>481</v>
      </c>
      <c r="B130" s="40" t="s">
        <v>482</v>
      </c>
      <c r="C130" s="40">
        <v>32</v>
      </c>
      <c r="D130" s="40" t="s">
        <v>124</v>
      </c>
      <c r="E130" s="41">
        <v>21.1</v>
      </c>
      <c r="F130" s="40" t="s">
        <v>128</v>
      </c>
      <c r="G130" s="40">
        <v>0</v>
      </c>
      <c r="H130" s="40" t="s">
        <v>59</v>
      </c>
      <c r="I130" s="40" t="s">
        <v>30</v>
      </c>
      <c r="J130" s="40" t="s">
        <v>47</v>
      </c>
      <c r="K130" s="40" t="s">
        <v>483</v>
      </c>
      <c r="L130" s="41">
        <v>9003.11</v>
      </c>
      <c r="M130" s="41">
        <v>8688.9599999999991</v>
      </c>
      <c r="N130" s="40"/>
      <c r="O130" s="42" t="s">
        <v>16</v>
      </c>
    </row>
    <row r="131" spans="1:15" ht="15.75" customHeight="1" x14ac:dyDescent="0.3">
      <c r="A131" s="43" t="s">
        <v>484</v>
      </c>
      <c r="B131" s="43" t="s">
        <v>485</v>
      </c>
      <c r="C131" s="43">
        <v>54</v>
      </c>
      <c r="D131" s="43" t="s">
        <v>115</v>
      </c>
      <c r="E131" s="44">
        <v>22.4</v>
      </c>
      <c r="F131" s="43" t="s">
        <v>116</v>
      </c>
      <c r="G131" s="43">
        <v>3</v>
      </c>
      <c r="H131" s="43" t="s">
        <v>57</v>
      </c>
      <c r="I131" s="43" t="s">
        <v>29</v>
      </c>
      <c r="J131" s="43" t="s">
        <v>48</v>
      </c>
      <c r="K131" s="43" t="s">
        <v>486</v>
      </c>
      <c r="L131" s="44">
        <v>56706.54</v>
      </c>
      <c r="M131" s="44">
        <v>32947.089999999997</v>
      </c>
      <c r="N131" s="43"/>
      <c r="O131" s="42" t="s">
        <v>16</v>
      </c>
    </row>
    <row r="132" spans="1:15" ht="15.75" customHeight="1" x14ac:dyDescent="0.3">
      <c r="A132" s="40" t="s">
        <v>487</v>
      </c>
      <c r="B132" s="40" t="s">
        <v>412</v>
      </c>
      <c r="C132" s="40">
        <v>20</v>
      </c>
      <c r="D132" s="40" t="s">
        <v>115</v>
      </c>
      <c r="E132" s="41">
        <v>49.8</v>
      </c>
      <c r="F132" s="40" t="s">
        <v>128</v>
      </c>
      <c r="G132" s="40">
        <v>3</v>
      </c>
      <c r="H132" s="40" t="s">
        <v>61</v>
      </c>
      <c r="I132" s="40" t="s">
        <v>31</v>
      </c>
      <c r="J132" s="40" t="s">
        <v>49</v>
      </c>
      <c r="K132" s="40" t="s">
        <v>488</v>
      </c>
      <c r="L132" s="41">
        <v>27212.38</v>
      </c>
      <c r="M132" s="41">
        <v>23466.67</v>
      </c>
      <c r="N132" s="40"/>
      <c r="O132" s="42" t="s">
        <v>16</v>
      </c>
    </row>
    <row r="133" spans="1:15" ht="15.75" customHeight="1" x14ac:dyDescent="0.3">
      <c r="A133" s="43" t="s">
        <v>489</v>
      </c>
      <c r="B133" s="43" t="s">
        <v>490</v>
      </c>
      <c r="C133" s="43">
        <v>53</v>
      </c>
      <c r="D133" s="43" t="s">
        <v>120</v>
      </c>
      <c r="E133" s="44">
        <v>19.5</v>
      </c>
      <c r="F133" s="43" t="s">
        <v>116</v>
      </c>
      <c r="G133" s="43">
        <v>2</v>
      </c>
      <c r="H133" s="43" t="s">
        <v>63</v>
      </c>
      <c r="I133" s="43" t="s">
        <v>29</v>
      </c>
      <c r="J133" s="43" t="s">
        <v>48</v>
      </c>
      <c r="K133" s="43" t="s">
        <v>491</v>
      </c>
      <c r="L133" s="44">
        <v>10597.29</v>
      </c>
      <c r="M133" s="44">
        <v>9569.14</v>
      </c>
      <c r="N133" s="43"/>
      <c r="O133" s="42" t="s">
        <v>16</v>
      </c>
    </row>
    <row r="134" spans="1:15" ht="15.75" customHeight="1" x14ac:dyDescent="0.3">
      <c r="A134" s="40" t="s">
        <v>492</v>
      </c>
      <c r="B134" s="40" t="s">
        <v>493</v>
      </c>
      <c r="C134" s="40">
        <v>40</v>
      </c>
      <c r="D134" s="40" t="s">
        <v>115</v>
      </c>
      <c r="E134" s="41">
        <v>44</v>
      </c>
      <c r="F134" s="40" t="s">
        <v>128</v>
      </c>
      <c r="G134" s="40">
        <v>2</v>
      </c>
      <c r="H134" s="40" t="s">
        <v>57</v>
      </c>
      <c r="I134" s="40" t="s">
        <v>29</v>
      </c>
      <c r="J134" s="40" t="s">
        <v>42</v>
      </c>
      <c r="K134" s="40" t="s">
        <v>494</v>
      </c>
      <c r="L134" s="41">
        <v>31655.64</v>
      </c>
      <c r="M134" s="41">
        <v>21721.3</v>
      </c>
      <c r="N134" s="40"/>
      <c r="O134" s="45" t="s">
        <v>18</v>
      </c>
    </row>
    <row r="135" spans="1:15" ht="15.75" customHeight="1" x14ac:dyDescent="0.3">
      <c r="A135" s="43" t="s">
        <v>495</v>
      </c>
      <c r="B135" s="43" t="s">
        <v>496</v>
      </c>
      <c r="C135" s="43">
        <v>47</v>
      </c>
      <c r="D135" s="43" t="s">
        <v>115</v>
      </c>
      <c r="E135" s="44">
        <v>39.299999999999997</v>
      </c>
      <c r="F135" s="43" t="s">
        <v>116</v>
      </c>
      <c r="G135" s="43">
        <v>3</v>
      </c>
      <c r="H135" s="43" t="s">
        <v>57</v>
      </c>
      <c r="I135" s="43" t="s">
        <v>29</v>
      </c>
      <c r="J135" s="43" t="s">
        <v>44</v>
      </c>
      <c r="K135" s="43" t="s">
        <v>497</v>
      </c>
      <c r="L135" s="44">
        <v>44745.81</v>
      </c>
      <c r="M135" s="44">
        <v>43279.42</v>
      </c>
      <c r="N135" s="43"/>
      <c r="O135" s="42" t="s">
        <v>16</v>
      </c>
    </row>
    <row r="136" spans="1:15" ht="15.75" customHeight="1" x14ac:dyDescent="0.3">
      <c r="A136" s="40" t="s">
        <v>498</v>
      </c>
      <c r="B136" s="40" t="s">
        <v>499</v>
      </c>
      <c r="C136" s="40">
        <v>51</v>
      </c>
      <c r="D136" s="40" t="s">
        <v>124</v>
      </c>
      <c r="E136" s="41">
        <v>42.4</v>
      </c>
      <c r="F136" s="40" t="s">
        <v>116</v>
      </c>
      <c r="G136" s="40">
        <v>1</v>
      </c>
      <c r="H136" s="40" t="s">
        <v>61</v>
      </c>
      <c r="I136" s="40" t="s">
        <v>28</v>
      </c>
      <c r="J136" s="40" t="s">
        <v>46</v>
      </c>
      <c r="K136" s="40" t="s">
        <v>500</v>
      </c>
      <c r="L136" s="41">
        <v>64331.26</v>
      </c>
      <c r="M136" s="41">
        <v>45650.879999999997</v>
      </c>
      <c r="N136" s="40"/>
      <c r="O136" s="45" t="s">
        <v>18</v>
      </c>
    </row>
    <row r="137" spans="1:15" ht="15.75" customHeight="1" x14ac:dyDescent="0.3">
      <c r="A137" s="43" t="s">
        <v>501</v>
      </c>
      <c r="B137" s="43" t="s">
        <v>502</v>
      </c>
      <c r="C137" s="43">
        <v>44</v>
      </c>
      <c r="D137" s="43" t="s">
        <v>124</v>
      </c>
      <c r="E137" s="44">
        <v>20.399999999999999</v>
      </c>
      <c r="F137" s="43" t="s">
        <v>128</v>
      </c>
      <c r="G137" s="43">
        <v>0</v>
      </c>
      <c r="H137" s="43" t="s">
        <v>61</v>
      </c>
      <c r="I137" s="43" t="s">
        <v>30</v>
      </c>
      <c r="J137" s="43" t="s">
        <v>40</v>
      </c>
      <c r="K137" s="43" t="s">
        <v>503</v>
      </c>
      <c r="L137" s="44">
        <v>109709.48</v>
      </c>
      <c r="M137" s="44">
        <v>71783.960000000006</v>
      </c>
      <c r="N137" s="43"/>
      <c r="O137" s="45" t="s">
        <v>18</v>
      </c>
    </row>
    <row r="138" spans="1:15" ht="15.75" customHeight="1" x14ac:dyDescent="0.3">
      <c r="A138" s="40" t="s">
        <v>504</v>
      </c>
      <c r="B138" s="40" t="s">
        <v>146</v>
      </c>
      <c r="C138" s="40">
        <v>42</v>
      </c>
      <c r="D138" s="40" t="s">
        <v>124</v>
      </c>
      <c r="E138" s="41">
        <v>35.1</v>
      </c>
      <c r="F138" s="40" t="s">
        <v>116</v>
      </c>
      <c r="G138" s="40">
        <v>1</v>
      </c>
      <c r="H138" s="40" t="s">
        <v>65</v>
      </c>
      <c r="I138" s="40" t="s">
        <v>31</v>
      </c>
      <c r="J138" s="40" t="s">
        <v>47</v>
      </c>
      <c r="K138" s="40" t="s">
        <v>505</v>
      </c>
      <c r="L138" s="41">
        <v>61040.63</v>
      </c>
      <c r="M138" s="41">
        <v>52316.53</v>
      </c>
      <c r="N138" s="40" t="s">
        <v>74</v>
      </c>
      <c r="O138" s="42" t="s">
        <v>16</v>
      </c>
    </row>
    <row r="139" spans="1:15" ht="15.75" customHeight="1" x14ac:dyDescent="0.3">
      <c r="A139" s="43" t="s">
        <v>506</v>
      </c>
      <c r="B139" s="43" t="s">
        <v>507</v>
      </c>
      <c r="C139" s="43">
        <v>47</v>
      </c>
      <c r="D139" s="43" t="s">
        <v>115</v>
      </c>
      <c r="E139" s="44">
        <v>15.6</v>
      </c>
      <c r="F139" s="43" t="s">
        <v>128</v>
      </c>
      <c r="G139" s="43">
        <v>3</v>
      </c>
      <c r="H139" s="43" t="s">
        <v>63</v>
      </c>
      <c r="I139" s="43" t="s">
        <v>32</v>
      </c>
      <c r="J139" s="43" t="s">
        <v>46</v>
      </c>
      <c r="K139" s="43" t="s">
        <v>277</v>
      </c>
      <c r="L139" s="44">
        <v>119788.14</v>
      </c>
      <c r="M139" s="44">
        <v>80554.44</v>
      </c>
      <c r="N139" s="43"/>
      <c r="O139" s="42" t="s">
        <v>16</v>
      </c>
    </row>
    <row r="140" spans="1:15" ht="15.75" customHeight="1" x14ac:dyDescent="0.3">
      <c r="A140" s="40" t="s">
        <v>508</v>
      </c>
      <c r="B140" s="40" t="s">
        <v>509</v>
      </c>
      <c r="C140" s="40">
        <v>38</v>
      </c>
      <c r="D140" s="40" t="s">
        <v>124</v>
      </c>
      <c r="E140" s="41">
        <v>37.5</v>
      </c>
      <c r="F140" s="40" t="s">
        <v>116</v>
      </c>
      <c r="G140" s="40">
        <v>0</v>
      </c>
      <c r="H140" s="40" t="s">
        <v>59</v>
      </c>
      <c r="I140" s="40" t="s">
        <v>32</v>
      </c>
      <c r="J140" s="40" t="s">
        <v>40</v>
      </c>
      <c r="K140" s="40" t="s">
        <v>510</v>
      </c>
      <c r="L140" s="41"/>
      <c r="M140" s="41">
        <v>61919.83</v>
      </c>
      <c r="N140" s="40"/>
      <c r="O140" s="46" t="s">
        <v>17</v>
      </c>
    </row>
    <row r="141" spans="1:15" ht="15.75" customHeight="1" x14ac:dyDescent="0.3">
      <c r="A141" s="43" t="s">
        <v>511</v>
      </c>
      <c r="B141" s="43" t="s">
        <v>512</v>
      </c>
      <c r="C141" s="43">
        <v>55</v>
      </c>
      <c r="D141" s="43" t="s">
        <v>115</v>
      </c>
      <c r="E141" s="44">
        <v>22.4</v>
      </c>
      <c r="F141" s="43" t="s">
        <v>116</v>
      </c>
      <c r="G141" s="43">
        <v>2</v>
      </c>
      <c r="H141" s="43" t="s">
        <v>59</v>
      </c>
      <c r="I141" s="43" t="s">
        <v>28</v>
      </c>
      <c r="J141" s="43" t="s">
        <v>46</v>
      </c>
      <c r="K141" s="43" t="s">
        <v>513</v>
      </c>
      <c r="L141" s="44">
        <v>101516.24</v>
      </c>
      <c r="M141" s="44">
        <v>62728.93</v>
      </c>
      <c r="N141" s="43"/>
      <c r="O141" s="42" t="s">
        <v>16</v>
      </c>
    </row>
    <row r="142" spans="1:15" ht="15.75" customHeight="1" x14ac:dyDescent="0.3">
      <c r="A142" s="40" t="s">
        <v>514</v>
      </c>
      <c r="B142" s="40" t="s">
        <v>515</v>
      </c>
      <c r="C142" s="40">
        <v>19</v>
      </c>
      <c r="D142" s="40" t="s">
        <v>115</v>
      </c>
      <c r="E142" s="41">
        <v>16</v>
      </c>
      <c r="F142" s="40" t="s">
        <v>128</v>
      </c>
      <c r="G142" s="40">
        <v>0</v>
      </c>
      <c r="H142" s="40" t="s">
        <v>63</v>
      </c>
      <c r="I142" s="40" t="s">
        <v>28</v>
      </c>
      <c r="J142" s="40" t="s">
        <v>50</v>
      </c>
      <c r="K142" s="40" t="s">
        <v>516</v>
      </c>
      <c r="L142" s="41">
        <v>63826.53</v>
      </c>
      <c r="M142" s="41">
        <v>39519.620000000003</v>
      </c>
      <c r="N142" s="40"/>
      <c r="O142" s="42" t="s">
        <v>16</v>
      </c>
    </row>
    <row r="143" spans="1:15" ht="15.75" customHeight="1" x14ac:dyDescent="0.3">
      <c r="A143" s="43" t="s">
        <v>517</v>
      </c>
      <c r="B143" s="43" t="s">
        <v>221</v>
      </c>
      <c r="C143" s="43">
        <v>18</v>
      </c>
      <c r="D143" s="43" t="s">
        <v>124</v>
      </c>
      <c r="E143" s="44">
        <v>49.9</v>
      </c>
      <c r="F143" s="43" t="s">
        <v>128</v>
      </c>
      <c r="G143" s="43">
        <v>4</v>
      </c>
      <c r="H143" s="43" t="s">
        <v>65</v>
      </c>
      <c r="I143" s="43" t="s">
        <v>31</v>
      </c>
      <c r="J143" s="43" t="s">
        <v>44</v>
      </c>
      <c r="K143" s="43" t="s">
        <v>518</v>
      </c>
      <c r="L143" s="44"/>
      <c r="M143" s="44">
        <v>24762.47</v>
      </c>
      <c r="N143" s="43" t="s">
        <v>74</v>
      </c>
      <c r="O143" s="42" t="s">
        <v>16</v>
      </c>
    </row>
    <row r="144" spans="1:15" ht="15.75" customHeight="1" x14ac:dyDescent="0.3">
      <c r="A144" s="40" t="s">
        <v>519</v>
      </c>
      <c r="B144" s="40" t="s">
        <v>316</v>
      </c>
      <c r="C144" s="40">
        <v>56</v>
      </c>
      <c r="D144" s="40" t="s">
        <v>120</v>
      </c>
      <c r="E144" s="41"/>
      <c r="F144" s="40" t="s">
        <v>116</v>
      </c>
      <c r="G144" s="40">
        <v>3</v>
      </c>
      <c r="H144" s="40" t="s">
        <v>59</v>
      </c>
      <c r="I144" s="40" t="s">
        <v>28</v>
      </c>
      <c r="J144" s="40" t="s">
        <v>48</v>
      </c>
      <c r="K144" s="40" t="s">
        <v>520</v>
      </c>
      <c r="L144" s="41">
        <v>119951.16</v>
      </c>
      <c r="M144" s="41">
        <v>100276.73</v>
      </c>
      <c r="N144" s="40" t="s">
        <v>75</v>
      </c>
      <c r="O144" s="42" t="s">
        <v>16</v>
      </c>
    </row>
    <row r="145" spans="1:15" ht="15.75" customHeight="1" x14ac:dyDescent="0.3">
      <c r="A145" s="43" t="s">
        <v>521</v>
      </c>
      <c r="B145" s="43" t="s">
        <v>522</v>
      </c>
      <c r="C145" s="43">
        <v>40</v>
      </c>
      <c r="D145" s="43" t="s">
        <v>124</v>
      </c>
      <c r="E145" s="44">
        <v>25.2</v>
      </c>
      <c r="F145" s="43" t="s">
        <v>116</v>
      </c>
      <c r="G145" s="43">
        <v>2</v>
      </c>
      <c r="H145" s="43" t="s">
        <v>61</v>
      </c>
      <c r="I145" s="43" t="s">
        <v>31</v>
      </c>
      <c r="J145" s="43" t="s">
        <v>48</v>
      </c>
      <c r="K145" s="43" t="s">
        <v>523</v>
      </c>
      <c r="L145" s="44">
        <v>80183.41</v>
      </c>
      <c r="M145" s="44">
        <v>77217.22</v>
      </c>
      <c r="N145" s="43" t="s">
        <v>73</v>
      </c>
      <c r="O145" s="42" t="s">
        <v>16</v>
      </c>
    </row>
    <row r="146" spans="1:15" ht="15.75" customHeight="1" x14ac:dyDescent="0.3">
      <c r="A146" s="40" t="s">
        <v>524</v>
      </c>
      <c r="B146" s="40" t="s">
        <v>525</v>
      </c>
      <c r="C146" s="40">
        <v>49</v>
      </c>
      <c r="D146" s="40" t="s">
        <v>124</v>
      </c>
      <c r="E146" s="41">
        <v>28.4</v>
      </c>
      <c r="F146" s="40" t="s">
        <v>116</v>
      </c>
      <c r="G146" s="40">
        <v>4</v>
      </c>
      <c r="H146" s="40" t="s">
        <v>65</v>
      </c>
      <c r="I146" s="40" t="s">
        <v>32</v>
      </c>
      <c r="J146" s="40" t="s">
        <v>42</v>
      </c>
      <c r="K146" s="40" t="s">
        <v>526</v>
      </c>
      <c r="L146" s="41">
        <v>114663.86</v>
      </c>
      <c r="M146" s="41">
        <v>101386.75</v>
      </c>
      <c r="N146" s="40"/>
      <c r="O146" s="42" t="s">
        <v>16</v>
      </c>
    </row>
    <row r="147" spans="1:15" ht="15.75" customHeight="1" x14ac:dyDescent="0.3">
      <c r="A147" s="43" t="s">
        <v>527</v>
      </c>
      <c r="B147" s="43" t="s">
        <v>322</v>
      </c>
      <c r="C147" s="43">
        <v>43</v>
      </c>
      <c r="D147" s="43" t="s">
        <v>115</v>
      </c>
      <c r="E147" s="44">
        <v>31.2</v>
      </c>
      <c r="F147" s="43" t="s">
        <v>128</v>
      </c>
      <c r="G147" s="43">
        <v>2</v>
      </c>
      <c r="H147" s="43" t="s">
        <v>61</v>
      </c>
      <c r="I147" s="43" t="s">
        <v>29</v>
      </c>
      <c r="J147" s="43" t="s">
        <v>48</v>
      </c>
      <c r="K147" s="43" t="s">
        <v>528</v>
      </c>
      <c r="L147" s="44">
        <v>76885.31</v>
      </c>
      <c r="M147" s="44">
        <v>52059.28</v>
      </c>
      <c r="N147" s="43"/>
      <c r="O147" s="42" t="s">
        <v>16</v>
      </c>
    </row>
    <row r="148" spans="1:15" ht="15.75" customHeight="1" x14ac:dyDescent="0.3">
      <c r="A148" s="40" t="s">
        <v>529</v>
      </c>
      <c r="B148" s="40" t="s">
        <v>293</v>
      </c>
      <c r="C148" s="40">
        <v>78</v>
      </c>
      <c r="D148" s="40" t="s">
        <v>120</v>
      </c>
      <c r="E148" s="41">
        <v>27.7</v>
      </c>
      <c r="F148" s="40" t="s">
        <v>128</v>
      </c>
      <c r="G148" s="40">
        <v>0</v>
      </c>
      <c r="H148" s="40" t="s">
        <v>61</v>
      </c>
      <c r="I148" s="40" t="s">
        <v>31</v>
      </c>
      <c r="J148" s="40" t="s">
        <v>50</v>
      </c>
      <c r="K148" s="40" t="s">
        <v>530</v>
      </c>
      <c r="L148" s="41">
        <v>2903.91</v>
      </c>
      <c r="M148" s="41">
        <v>2070.89</v>
      </c>
      <c r="N148" s="40" t="s">
        <v>73</v>
      </c>
      <c r="O148" s="42" t="s">
        <v>16</v>
      </c>
    </row>
    <row r="149" spans="1:15" ht="15.75" customHeight="1" x14ac:dyDescent="0.3">
      <c r="A149" s="43" t="s">
        <v>531</v>
      </c>
      <c r="B149" s="43" t="s">
        <v>532</v>
      </c>
      <c r="C149" s="43">
        <v>51</v>
      </c>
      <c r="D149" s="43" t="s">
        <v>120</v>
      </c>
      <c r="E149" s="44">
        <v>41.7</v>
      </c>
      <c r="F149" s="43" t="s">
        <v>128</v>
      </c>
      <c r="G149" s="43">
        <v>4</v>
      </c>
      <c r="H149" s="43" t="s">
        <v>59</v>
      </c>
      <c r="I149" s="43" t="s">
        <v>28</v>
      </c>
      <c r="J149" s="43" t="s">
        <v>40</v>
      </c>
      <c r="K149" s="43" t="s">
        <v>533</v>
      </c>
      <c r="L149" s="44">
        <v>86507.25</v>
      </c>
      <c r="M149" s="44">
        <v>65423.32</v>
      </c>
      <c r="N149" s="43"/>
      <c r="O149" s="42" t="s">
        <v>16</v>
      </c>
    </row>
    <row r="150" spans="1:15" ht="15.75" customHeight="1" x14ac:dyDescent="0.3">
      <c r="A150" s="40" t="s">
        <v>534</v>
      </c>
      <c r="B150" s="40" t="s">
        <v>535</v>
      </c>
      <c r="C150" s="40">
        <v>27</v>
      </c>
      <c r="D150" s="40" t="s">
        <v>115</v>
      </c>
      <c r="E150" s="41">
        <v>23.9</v>
      </c>
      <c r="F150" s="40" t="s">
        <v>128</v>
      </c>
      <c r="G150" s="40">
        <v>1</v>
      </c>
      <c r="H150" s="40" t="s">
        <v>65</v>
      </c>
      <c r="I150" s="40" t="s">
        <v>30</v>
      </c>
      <c r="J150" s="40" t="s">
        <v>49</v>
      </c>
      <c r="K150" s="40" t="s">
        <v>536</v>
      </c>
      <c r="L150" s="41">
        <v>118903.24</v>
      </c>
      <c r="M150" s="41">
        <v>63762.61</v>
      </c>
      <c r="N150" s="40"/>
      <c r="O150" s="45" t="s">
        <v>18</v>
      </c>
    </row>
    <row r="151" spans="1:15" ht="15.75" customHeight="1" x14ac:dyDescent="0.3">
      <c r="A151" s="43" t="s">
        <v>537</v>
      </c>
      <c r="B151" s="43" t="s">
        <v>538</v>
      </c>
      <c r="C151" s="43">
        <v>41</v>
      </c>
      <c r="D151" s="43" t="s">
        <v>124</v>
      </c>
      <c r="E151" s="44">
        <v>21.1</v>
      </c>
      <c r="F151" s="43" t="s">
        <v>116</v>
      </c>
      <c r="G151" s="43">
        <v>2</v>
      </c>
      <c r="H151" s="43" t="s">
        <v>65</v>
      </c>
      <c r="I151" s="43" t="s">
        <v>32</v>
      </c>
      <c r="J151" s="43" t="s">
        <v>46</v>
      </c>
      <c r="K151" s="43" t="s">
        <v>505</v>
      </c>
      <c r="L151" s="44">
        <v>73693.149999999994</v>
      </c>
      <c r="M151" s="44">
        <v>55149.45</v>
      </c>
      <c r="N151" s="43"/>
      <c r="O151" s="42" t="s">
        <v>16</v>
      </c>
    </row>
    <row r="152" spans="1:15" ht="15.75" customHeight="1" x14ac:dyDescent="0.3">
      <c r="A152" s="40" t="s">
        <v>539</v>
      </c>
      <c r="B152" s="40" t="s">
        <v>540</v>
      </c>
      <c r="C152" s="40">
        <v>51</v>
      </c>
      <c r="D152" s="40" t="s">
        <v>115</v>
      </c>
      <c r="E152" s="41">
        <v>34.200000000000003</v>
      </c>
      <c r="F152" s="40" t="s">
        <v>128</v>
      </c>
      <c r="G152" s="40">
        <v>1</v>
      </c>
      <c r="H152" s="40" t="s">
        <v>57</v>
      </c>
      <c r="I152" s="40" t="s">
        <v>28</v>
      </c>
      <c r="J152" s="40" t="s">
        <v>44</v>
      </c>
      <c r="K152" s="40" t="s">
        <v>541</v>
      </c>
      <c r="L152" s="41">
        <v>78573.03</v>
      </c>
      <c r="M152" s="41">
        <v>57821.39</v>
      </c>
      <c r="N152" s="40" t="s">
        <v>75</v>
      </c>
      <c r="O152" s="42" t="s">
        <v>16</v>
      </c>
    </row>
    <row r="153" spans="1:15" ht="15.75" customHeight="1" x14ac:dyDescent="0.3">
      <c r="A153" s="43" t="s">
        <v>542</v>
      </c>
      <c r="B153" s="43" t="s">
        <v>543</v>
      </c>
      <c r="C153" s="43">
        <v>34</v>
      </c>
      <c r="D153" s="43" t="s">
        <v>124</v>
      </c>
      <c r="E153" s="44">
        <v>31.1</v>
      </c>
      <c r="F153" s="43" t="s">
        <v>116</v>
      </c>
      <c r="G153" s="43">
        <v>2</v>
      </c>
      <c r="H153" s="43" t="s">
        <v>59</v>
      </c>
      <c r="I153" s="43" t="s">
        <v>28</v>
      </c>
      <c r="J153" s="43" t="s">
        <v>50</v>
      </c>
      <c r="K153" s="43" t="s">
        <v>544</v>
      </c>
      <c r="L153" s="44">
        <v>25969.26</v>
      </c>
      <c r="M153" s="44">
        <v>20768.330000000002</v>
      </c>
      <c r="N153" s="43"/>
      <c r="O153" s="42" t="s">
        <v>16</v>
      </c>
    </row>
    <row r="154" spans="1:15" ht="15.75" customHeight="1" x14ac:dyDescent="0.3">
      <c r="A154" s="40" t="s">
        <v>545</v>
      </c>
      <c r="B154" s="40" t="s">
        <v>546</v>
      </c>
      <c r="C154" s="40">
        <v>53</v>
      </c>
      <c r="D154" s="40" t="s">
        <v>120</v>
      </c>
      <c r="E154" s="41">
        <v>25.8</v>
      </c>
      <c r="F154" s="40" t="s">
        <v>116</v>
      </c>
      <c r="G154" s="40">
        <v>3</v>
      </c>
      <c r="H154" s="40" t="s">
        <v>59</v>
      </c>
      <c r="I154" s="40" t="s">
        <v>29</v>
      </c>
      <c r="J154" s="40" t="s">
        <v>42</v>
      </c>
      <c r="K154" s="40" t="s">
        <v>547</v>
      </c>
      <c r="L154" s="41">
        <v>100580.19</v>
      </c>
      <c r="M154" s="41">
        <v>92202.65</v>
      </c>
      <c r="N154" s="40"/>
      <c r="O154" s="42" t="s">
        <v>16</v>
      </c>
    </row>
    <row r="155" spans="1:15" ht="15.75" customHeight="1" x14ac:dyDescent="0.3">
      <c r="A155" s="43" t="s">
        <v>548</v>
      </c>
      <c r="B155" s="43" t="s">
        <v>549</v>
      </c>
      <c r="C155" s="43">
        <v>80</v>
      </c>
      <c r="D155" s="43" t="s">
        <v>124</v>
      </c>
      <c r="E155" s="44">
        <v>22.6</v>
      </c>
      <c r="F155" s="43" t="s">
        <v>116</v>
      </c>
      <c r="G155" s="43">
        <v>4</v>
      </c>
      <c r="H155" s="43" t="s">
        <v>63</v>
      </c>
      <c r="I155" s="43" t="s">
        <v>31</v>
      </c>
      <c r="J155" s="43" t="s">
        <v>42</v>
      </c>
      <c r="K155" s="43" t="s">
        <v>329</v>
      </c>
      <c r="L155" s="44">
        <v>913.78</v>
      </c>
      <c r="M155" s="44">
        <v>880.65</v>
      </c>
      <c r="N155" s="43"/>
      <c r="O155" s="45" t="s">
        <v>18</v>
      </c>
    </row>
    <row r="156" spans="1:15" ht="15.75" customHeight="1" x14ac:dyDescent="0.3">
      <c r="A156" s="40" t="s">
        <v>550</v>
      </c>
      <c r="B156" s="40" t="s">
        <v>551</v>
      </c>
      <c r="C156" s="40">
        <v>51</v>
      </c>
      <c r="D156" s="40" t="s">
        <v>124</v>
      </c>
      <c r="E156" s="41">
        <v>38.6</v>
      </c>
      <c r="F156" s="40" t="s">
        <v>128</v>
      </c>
      <c r="G156" s="40">
        <v>4</v>
      </c>
      <c r="H156" s="40" t="s">
        <v>61</v>
      </c>
      <c r="I156" s="40" t="s">
        <v>28</v>
      </c>
      <c r="J156" s="40" t="s">
        <v>50</v>
      </c>
      <c r="K156" s="40" t="s">
        <v>552</v>
      </c>
      <c r="L156" s="41">
        <v>91150.53</v>
      </c>
      <c r="M156" s="41">
        <v>85966.06</v>
      </c>
      <c r="N156" s="40" t="s">
        <v>74</v>
      </c>
      <c r="O156" s="45" t="s">
        <v>18</v>
      </c>
    </row>
    <row r="157" spans="1:15" ht="15.75" customHeight="1" x14ac:dyDescent="0.3">
      <c r="A157" s="43" t="s">
        <v>553</v>
      </c>
      <c r="B157" s="43" t="s">
        <v>554</v>
      </c>
      <c r="C157" s="43">
        <v>19</v>
      </c>
      <c r="D157" s="43" t="s">
        <v>115</v>
      </c>
      <c r="E157" s="44">
        <v>48.2</v>
      </c>
      <c r="F157" s="43" t="s">
        <v>116</v>
      </c>
      <c r="G157" s="43">
        <v>0</v>
      </c>
      <c r="H157" s="43" t="s">
        <v>65</v>
      </c>
      <c r="I157" s="43" t="s">
        <v>31</v>
      </c>
      <c r="J157" s="43" t="s">
        <v>44</v>
      </c>
      <c r="K157" s="43" t="s">
        <v>555</v>
      </c>
      <c r="L157" s="44">
        <v>32858.639999999999</v>
      </c>
      <c r="M157" s="44">
        <v>25385.83</v>
      </c>
      <c r="N157" s="43" t="s">
        <v>74</v>
      </c>
      <c r="O157" s="42" t="s">
        <v>16</v>
      </c>
    </row>
    <row r="158" spans="1:15" ht="15.75" customHeight="1" x14ac:dyDescent="0.3">
      <c r="A158" s="40" t="s">
        <v>556</v>
      </c>
      <c r="B158" s="40" t="s">
        <v>557</v>
      </c>
      <c r="C158" s="40">
        <v>22</v>
      </c>
      <c r="D158" s="40" t="s">
        <v>124</v>
      </c>
      <c r="E158" s="41">
        <v>17.8</v>
      </c>
      <c r="F158" s="40" t="s">
        <v>128</v>
      </c>
      <c r="G158" s="40">
        <v>0</v>
      </c>
      <c r="H158" s="40" t="s">
        <v>63</v>
      </c>
      <c r="I158" s="40" t="s">
        <v>32</v>
      </c>
      <c r="J158" s="40" t="s">
        <v>47</v>
      </c>
      <c r="K158" s="40" t="s">
        <v>558</v>
      </c>
      <c r="L158" s="41">
        <v>27975.94</v>
      </c>
      <c r="M158" s="41">
        <v>27176.3</v>
      </c>
      <c r="N158" s="40" t="s">
        <v>74</v>
      </c>
      <c r="O158" s="45" t="s">
        <v>18</v>
      </c>
    </row>
    <row r="159" spans="1:15" ht="15.75" customHeight="1" x14ac:dyDescent="0.3">
      <c r="A159" s="43" t="s">
        <v>559</v>
      </c>
      <c r="B159" s="43" t="s">
        <v>560</v>
      </c>
      <c r="C159" s="43">
        <v>65</v>
      </c>
      <c r="D159" s="43" t="s">
        <v>120</v>
      </c>
      <c r="E159" s="44">
        <v>22.3</v>
      </c>
      <c r="F159" s="43" t="s">
        <v>128</v>
      </c>
      <c r="G159" s="43">
        <v>3</v>
      </c>
      <c r="H159" s="43" t="s">
        <v>57</v>
      </c>
      <c r="I159" s="43" t="s">
        <v>28</v>
      </c>
      <c r="J159" s="43" t="s">
        <v>42</v>
      </c>
      <c r="K159" s="43" t="s">
        <v>561</v>
      </c>
      <c r="L159" s="44">
        <v>97030.16</v>
      </c>
      <c r="M159" s="44">
        <v>96163.29</v>
      </c>
      <c r="N159" s="43"/>
      <c r="O159" s="46" t="s">
        <v>17</v>
      </c>
    </row>
    <row r="160" spans="1:15" ht="15.75" customHeight="1" x14ac:dyDescent="0.3">
      <c r="A160" s="40" t="s">
        <v>562</v>
      </c>
      <c r="B160" s="40" t="s">
        <v>563</v>
      </c>
      <c r="C160" s="40">
        <v>29</v>
      </c>
      <c r="D160" s="40" t="s">
        <v>120</v>
      </c>
      <c r="E160" s="41">
        <v>46</v>
      </c>
      <c r="F160" s="40" t="s">
        <v>116</v>
      </c>
      <c r="G160" s="40">
        <v>1</v>
      </c>
      <c r="H160" s="40" t="s">
        <v>63</v>
      </c>
      <c r="I160" s="40" t="s">
        <v>30</v>
      </c>
      <c r="J160" s="40" t="s">
        <v>46</v>
      </c>
      <c r="K160" s="40" t="s">
        <v>564</v>
      </c>
      <c r="L160" s="41">
        <v>40394.97</v>
      </c>
      <c r="M160" s="41">
        <v>22369.68</v>
      </c>
      <c r="N160" s="40"/>
      <c r="O160" s="42" t="s">
        <v>16</v>
      </c>
    </row>
    <row r="161" spans="1:15" ht="15.75" customHeight="1" x14ac:dyDescent="0.3">
      <c r="A161" s="43" t="s">
        <v>565</v>
      </c>
      <c r="B161" s="43" t="s">
        <v>566</v>
      </c>
      <c r="C161" s="43">
        <v>61</v>
      </c>
      <c r="D161" s="43" t="s">
        <v>120</v>
      </c>
      <c r="E161" s="44">
        <v>22.8</v>
      </c>
      <c r="F161" s="43" t="s">
        <v>116</v>
      </c>
      <c r="G161" s="43">
        <v>4</v>
      </c>
      <c r="H161" s="43" t="s">
        <v>59</v>
      </c>
      <c r="I161" s="43" t="s">
        <v>29</v>
      </c>
      <c r="J161" s="43" t="s">
        <v>42</v>
      </c>
      <c r="K161" s="43" t="s">
        <v>378</v>
      </c>
      <c r="L161" s="44">
        <v>47877.9</v>
      </c>
      <c r="M161" s="44">
        <v>27150.99</v>
      </c>
      <c r="N161" s="43"/>
      <c r="O161" s="42" t="s">
        <v>16</v>
      </c>
    </row>
    <row r="162" spans="1:15" ht="15.75" customHeight="1" x14ac:dyDescent="0.3">
      <c r="A162" s="40" t="s">
        <v>567</v>
      </c>
      <c r="B162" s="40" t="s">
        <v>568</v>
      </c>
      <c r="C162" s="40">
        <v>20</v>
      </c>
      <c r="D162" s="40" t="s">
        <v>120</v>
      </c>
      <c r="E162" s="41">
        <v>27.4</v>
      </c>
      <c r="F162" s="40" t="s">
        <v>116</v>
      </c>
      <c r="G162" s="40">
        <v>3</v>
      </c>
      <c r="H162" s="40" t="s">
        <v>63</v>
      </c>
      <c r="I162" s="40" t="s">
        <v>28</v>
      </c>
      <c r="J162" s="40" t="s">
        <v>49</v>
      </c>
      <c r="K162" s="40" t="s">
        <v>569</v>
      </c>
      <c r="L162" s="41">
        <v>46591.360000000001</v>
      </c>
      <c r="M162" s="41">
        <v>37464.18</v>
      </c>
      <c r="N162" s="40" t="s">
        <v>74</v>
      </c>
      <c r="O162" s="45" t="s">
        <v>18</v>
      </c>
    </row>
    <row r="163" spans="1:15" ht="15.75" customHeight="1" x14ac:dyDescent="0.3">
      <c r="A163" s="43" t="s">
        <v>570</v>
      </c>
      <c r="B163" s="43" t="s">
        <v>482</v>
      </c>
      <c r="C163" s="43">
        <v>40</v>
      </c>
      <c r="D163" s="43" t="s">
        <v>124</v>
      </c>
      <c r="E163" s="44">
        <v>35.4</v>
      </c>
      <c r="F163" s="43" t="s">
        <v>116</v>
      </c>
      <c r="G163" s="43">
        <v>1</v>
      </c>
      <c r="H163" s="43" t="s">
        <v>59</v>
      </c>
      <c r="I163" s="43" t="s">
        <v>30</v>
      </c>
      <c r="J163" s="43" t="s">
        <v>50</v>
      </c>
      <c r="K163" s="43" t="s">
        <v>571</v>
      </c>
      <c r="L163" s="44">
        <v>75592.929999999993</v>
      </c>
      <c r="M163" s="44">
        <v>67969.509999999995</v>
      </c>
      <c r="N163" s="43" t="s">
        <v>73</v>
      </c>
      <c r="O163" s="45" t="s">
        <v>18</v>
      </c>
    </row>
    <row r="164" spans="1:15" ht="15.75" customHeight="1" x14ac:dyDescent="0.3">
      <c r="A164" s="40" t="s">
        <v>572</v>
      </c>
      <c r="B164" s="40" t="s">
        <v>573</v>
      </c>
      <c r="C164" s="40">
        <v>32</v>
      </c>
      <c r="D164" s="40" t="s">
        <v>120</v>
      </c>
      <c r="E164" s="41">
        <v>15.1</v>
      </c>
      <c r="F164" s="40" t="s">
        <v>116</v>
      </c>
      <c r="G164" s="40">
        <v>4</v>
      </c>
      <c r="H164" s="40" t="s">
        <v>61</v>
      </c>
      <c r="I164" s="40" t="s">
        <v>28</v>
      </c>
      <c r="J164" s="40" t="s">
        <v>49</v>
      </c>
      <c r="K164" s="40" t="s">
        <v>574</v>
      </c>
      <c r="L164" s="41">
        <v>107540.58</v>
      </c>
      <c r="M164" s="41">
        <v>86736.99</v>
      </c>
      <c r="N164" s="40" t="s">
        <v>75</v>
      </c>
      <c r="O164" s="42" t="s">
        <v>16</v>
      </c>
    </row>
    <row r="165" spans="1:15" ht="15.75" customHeight="1" x14ac:dyDescent="0.3">
      <c r="A165" s="43" t="s">
        <v>575</v>
      </c>
      <c r="B165" s="43" t="s">
        <v>576</v>
      </c>
      <c r="C165" s="43">
        <v>56</v>
      </c>
      <c r="D165" s="43" t="s">
        <v>120</v>
      </c>
      <c r="E165" s="44">
        <v>16.100000000000001</v>
      </c>
      <c r="F165" s="43" t="s">
        <v>116</v>
      </c>
      <c r="G165" s="43">
        <v>1</v>
      </c>
      <c r="H165" s="43" t="s">
        <v>57</v>
      </c>
      <c r="I165" s="43" t="s">
        <v>28</v>
      </c>
      <c r="J165" s="43" t="s">
        <v>48</v>
      </c>
      <c r="K165" s="43" t="s">
        <v>577</v>
      </c>
      <c r="L165" s="44">
        <v>98793.41</v>
      </c>
      <c r="M165" s="44">
        <v>73513.37</v>
      </c>
      <c r="N165" s="43"/>
      <c r="O165" s="42" t="s">
        <v>16</v>
      </c>
    </row>
    <row r="166" spans="1:15" ht="15.75" customHeight="1" x14ac:dyDescent="0.3">
      <c r="A166" s="40" t="s">
        <v>578</v>
      </c>
      <c r="B166" s="40" t="s">
        <v>227</v>
      </c>
      <c r="C166" s="40">
        <v>50</v>
      </c>
      <c r="D166" s="40" t="s">
        <v>124</v>
      </c>
      <c r="E166" s="41">
        <v>21.9</v>
      </c>
      <c r="F166" s="40" t="s">
        <v>128</v>
      </c>
      <c r="G166" s="40">
        <v>3</v>
      </c>
      <c r="H166" s="40" t="s">
        <v>65</v>
      </c>
      <c r="I166" s="40" t="s">
        <v>29</v>
      </c>
      <c r="J166" s="40" t="s">
        <v>49</v>
      </c>
      <c r="K166" s="40" t="s">
        <v>579</v>
      </c>
      <c r="L166" s="41">
        <v>82040.41</v>
      </c>
      <c r="M166" s="41">
        <v>66625.009999999995</v>
      </c>
      <c r="N166" s="40"/>
      <c r="O166" s="46" t="s">
        <v>17</v>
      </c>
    </row>
    <row r="167" spans="1:15" ht="15.75" customHeight="1" x14ac:dyDescent="0.3">
      <c r="A167" s="43" t="s">
        <v>580</v>
      </c>
      <c r="B167" s="43" t="s">
        <v>581</v>
      </c>
      <c r="C167" s="43">
        <v>54</v>
      </c>
      <c r="D167" s="43" t="s">
        <v>115</v>
      </c>
      <c r="E167" s="44">
        <v>43.8</v>
      </c>
      <c r="F167" s="43" t="s">
        <v>116</v>
      </c>
      <c r="G167" s="43">
        <v>3</v>
      </c>
      <c r="H167" s="43" t="s">
        <v>59</v>
      </c>
      <c r="I167" s="43" t="s">
        <v>31</v>
      </c>
      <c r="J167" s="43" t="s">
        <v>47</v>
      </c>
      <c r="K167" s="43" t="s">
        <v>582</v>
      </c>
      <c r="L167" s="44">
        <v>92489.33</v>
      </c>
      <c r="M167" s="44">
        <v>60222</v>
      </c>
      <c r="N167" s="43"/>
      <c r="O167" s="42" t="s">
        <v>16</v>
      </c>
    </row>
    <row r="168" spans="1:15" ht="15.75" customHeight="1" x14ac:dyDescent="0.3">
      <c r="A168" s="40" t="s">
        <v>583</v>
      </c>
      <c r="B168" s="40" t="s">
        <v>409</v>
      </c>
      <c r="C168" s="40">
        <v>68</v>
      </c>
      <c r="D168" s="40" t="s">
        <v>120</v>
      </c>
      <c r="E168" s="41">
        <v>16.5</v>
      </c>
      <c r="F168" s="40" t="s">
        <v>128</v>
      </c>
      <c r="G168" s="40">
        <v>2</v>
      </c>
      <c r="H168" s="40" t="s">
        <v>57</v>
      </c>
      <c r="I168" s="40" t="s">
        <v>28</v>
      </c>
      <c r="J168" s="40" t="s">
        <v>44</v>
      </c>
      <c r="K168" s="40" t="s">
        <v>584</v>
      </c>
      <c r="L168" s="41">
        <v>12144.14</v>
      </c>
      <c r="M168" s="41">
        <v>10326.379999999999</v>
      </c>
      <c r="N168" s="40"/>
      <c r="O168" s="42" t="s">
        <v>16</v>
      </c>
    </row>
    <row r="169" spans="1:15" ht="15.75" customHeight="1" x14ac:dyDescent="0.3">
      <c r="A169" s="43" t="s">
        <v>585</v>
      </c>
      <c r="B169" s="43" t="s">
        <v>586</v>
      </c>
      <c r="C169" s="43">
        <v>31</v>
      </c>
      <c r="D169" s="43" t="s">
        <v>124</v>
      </c>
      <c r="E169" s="44">
        <v>38.6</v>
      </c>
      <c r="F169" s="43" t="s">
        <v>116</v>
      </c>
      <c r="G169" s="43">
        <v>2</v>
      </c>
      <c r="H169" s="43" t="s">
        <v>59</v>
      </c>
      <c r="I169" s="43" t="s">
        <v>30</v>
      </c>
      <c r="J169" s="43" t="s">
        <v>48</v>
      </c>
      <c r="K169" s="43" t="s">
        <v>207</v>
      </c>
      <c r="L169" s="44">
        <v>115995.28</v>
      </c>
      <c r="M169" s="44">
        <v>111846.22</v>
      </c>
      <c r="N169" s="43"/>
      <c r="O169" s="42" t="s">
        <v>16</v>
      </c>
    </row>
    <row r="170" spans="1:15" ht="15.75" customHeight="1" x14ac:dyDescent="0.3">
      <c r="A170" s="40" t="s">
        <v>587</v>
      </c>
      <c r="B170" s="40" t="s">
        <v>543</v>
      </c>
      <c r="C170" s="40">
        <v>41</v>
      </c>
      <c r="D170" s="40" t="s">
        <v>120</v>
      </c>
      <c r="E170" s="41"/>
      <c r="F170" s="40" t="s">
        <v>116</v>
      </c>
      <c r="G170" s="40">
        <v>0</v>
      </c>
      <c r="H170" s="40" t="s">
        <v>63</v>
      </c>
      <c r="I170" s="40" t="s">
        <v>31</v>
      </c>
      <c r="J170" s="40" t="s">
        <v>47</v>
      </c>
      <c r="K170" s="40" t="s">
        <v>588</v>
      </c>
      <c r="L170" s="41"/>
      <c r="M170" s="41">
        <v>35872.85</v>
      </c>
      <c r="N170" s="40" t="s">
        <v>73</v>
      </c>
      <c r="O170" s="46" t="s">
        <v>17</v>
      </c>
    </row>
    <row r="171" spans="1:15" ht="15.75" customHeight="1" x14ac:dyDescent="0.3">
      <c r="A171" s="43" t="s">
        <v>589</v>
      </c>
      <c r="B171" s="43" t="s">
        <v>590</v>
      </c>
      <c r="C171" s="43">
        <v>58</v>
      </c>
      <c r="D171" s="43" t="s">
        <v>124</v>
      </c>
      <c r="E171" s="44">
        <v>21.5</v>
      </c>
      <c r="F171" s="43" t="s">
        <v>128</v>
      </c>
      <c r="G171" s="43">
        <v>2</v>
      </c>
      <c r="H171" s="43" t="s">
        <v>61</v>
      </c>
      <c r="I171" s="43" t="s">
        <v>32</v>
      </c>
      <c r="J171" s="43" t="s">
        <v>50</v>
      </c>
      <c r="K171" s="43" t="s">
        <v>591</v>
      </c>
      <c r="L171" s="44">
        <v>14318.53</v>
      </c>
      <c r="M171" s="44">
        <v>13006.27</v>
      </c>
      <c r="N171" s="43"/>
      <c r="O171" s="42" t="s">
        <v>16</v>
      </c>
    </row>
    <row r="172" spans="1:15" ht="15.75" customHeight="1" x14ac:dyDescent="0.3">
      <c r="A172" s="40" t="s">
        <v>592</v>
      </c>
      <c r="B172" s="40" t="s">
        <v>593</v>
      </c>
      <c r="C172" s="40">
        <v>40</v>
      </c>
      <c r="D172" s="40" t="s">
        <v>124</v>
      </c>
      <c r="E172" s="41">
        <v>22.9</v>
      </c>
      <c r="F172" s="40" t="s">
        <v>128</v>
      </c>
      <c r="G172" s="40">
        <v>4</v>
      </c>
      <c r="H172" s="40" t="s">
        <v>57</v>
      </c>
      <c r="I172" s="40" t="s">
        <v>32</v>
      </c>
      <c r="J172" s="40" t="s">
        <v>42</v>
      </c>
      <c r="K172" s="40" t="s">
        <v>594</v>
      </c>
      <c r="L172" s="41">
        <v>110030.18</v>
      </c>
      <c r="M172" s="41">
        <v>87895.61</v>
      </c>
      <c r="N172" s="40"/>
      <c r="O172" s="42" t="s">
        <v>16</v>
      </c>
    </row>
    <row r="173" spans="1:15" ht="15.75" customHeight="1" x14ac:dyDescent="0.3">
      <c r="A173" s="43" t="s">
        <v>595</v>
      </c>
      <c r="B173" s="43" t="s">
        <v>331</v>
      </c>
      <c r="C173" s="43">
        <v>26</v>
      </c>
      <c r="D173" s="43" t="s">
        <v>120</v>
      </c>
      <c r="E173" s="44">
        <v>27.2</v>
      </c>
      <c r="F173" s="43" t="s">
        <v>128</v>
      </c>
      <c r="G173" s="43">
        <v>2</v>
      </c>
      <c r="H173" s="43" t="s">
        <v>57</v>
      </c>
      <c r="I173" s="43" t="s">
        <v>31</v>
      </c>
      <c r="J173" s="43" t="s">
        <v>40</v>
      </c>
      <c r="K173" s="43" t="s">
        <v>596</v>
      </c>
      <c r="L173" s="44">
        <v>31663.07</v>
      </c>
      <c r="M173" s="44">
        <v>21861.18</v>
      </c>
      <c r="N173" s="43"/>
      <c r="O173" s="45" t="s">
        <v>18</v>
      </c>
    </row>
    <row r="174" spans="1:15" ht="15.75" customHeight="1" x14ac:dyDescent="0.3">
      <c r="A174" s="40" t="s">
        <v>597</v>
      </c>
      <c r="B174" s="40" t="s">
        <v>598</v>
      </c>
      <c r="C174" s="40">
        <v>48</v>
      </c>
      <c r="D174" s="40" t="s">
        <v>124</v>
      </c>
      <c r="E174" s="41">
        <v>35.5</v>
      </c>
      <c r="F174" s="40" t="s">
        <v>116</v>
      </c>
      <c r="G174" s="40">
        <v>1</v>
      </c>
      <c r="H174" s="40" t="s">
        <v>61</v>
      </c>
      <c r="I174" s="40" t="s">
        <v>32</v>
      </c>
      <c r="J174" s="40" t="s">
        <v>40</v>
      </c>
      <c r="K174" s="40" t="s">
        <v>599</v>
      </c>
      <c r="L174" s="41">
        <v>18017.97</v>
      </c>
      <c r="M174" s="41">
        <v>13567.61</v>
      </c>
      <c r="N174" s="40" t="s">
        <v>74</v>
      </c>
      <c r="O174" s="46" t="s">
        <v>17</v>
      </c>
    </row>
    <row r="175" spans="1:15" ht="15.75" customHeight="1" x14ac:dyDescent="0.3">
      <c r="A175" s="43" t="s">
        <v>600</v>
      </c>
      <c r="B175" s="43" t="s">
        <v>601</v>
      </c>
      <c r="C175" s="43">
        <v>52</v>
      </c>
      <c r="D175" s="43" t="s">
        <v>120</v>
      </c>
      <c r="E175" s="44">
        <v>42.5</v>
      </c>
      <c r="F175" s="43" t="s">
        <v>116</v>
      </c>
      <c r="G175" s="43">
        <v>1</v>
      </c>
      <c r="H175" s="43" t="s">
        <v>57</v>
      </c>
      <c r="I175" s="43" t="s">
        <v>32</v>
      </c>
      <c r="J175" s="43" t="s">
        <v>40</v>
      </c>
      <c r="K175" s="43" t="s">
        <v>602</v>
      </c>
      <c r="L175" s="44">
        <v>118876.02</v>
      </c>
      <c r="M175" s="44">
        <v>75432.66</v>
      </c>
      <c r="N175" s="43" t="s">
        <v>73</v>
      </c>
      <c r="O175" s="42" t="s">
        <v>16</v>
      </c>
    </row>
    <row r="176" spans="1:15" ht="15.75" customHeight="1" x14ac:dyDescent="0.3">
      <c r="A176" s="40" t="s">
        <v>603</v>
      </c>
      <c r="B176" s="40" t="s">
        <v>409</v>
      </c>
      <c r="C176" s="40">
        <v>58</v>
      </c>
      <c r="D176" s="40" t="s">
        <v>115</v>
      </c>
      <c r="E176" s="41">
        <v>34</v>
      </c>
      <c r="F176" s="40" t="s">
        <v>128</v>
      </c>
      <c r="G176" s="40">
        <v>3</v>
      </c>
      <c r="H176" s="40" t="s">
        <v>59</v>
      </c>
      <c r="I176" s="40" t="s">
        <v>32</v>
      </c>
      <c r="J176" s="40" t="s">
        <v>42</v>
      </c>
      <c r="K176" s="40" t="s">
        <v>604</v>
      </c>
      <c r="L176" s="41">
        <v>2810.2</v>
      </c>
      <c r="M176" s="41">
        <v>2199.7800000000002</v>
      </c>
      <c r="N176" s="40" t="s">
        <v>73</v>
      </c>
      <c r="O176" s="42" t="s">
        <v>16</v>
      </c>
    </row>
    <row r="177" spans="1:15" ht="15.75" customHeight="1" x14ac:dyDescent="0.3">
      <c r="A177" s="43" t="s">
        <v>605</v>
      </c>
      <c r="B177" s="43" t="s">
        <v>606</v>
      </c>
      <c r="C177" s="43">
        <v>75</v>
      </c>
      <c r="D177" s="43" t="s">
        <v>120</v>
      </c>
      <c r="E177" s="44">
        <v>26.6</v>
      </c>
      <c r="F177" s="43" t="s">
        <v>128</v>
      </c>
      <c r="G177" s="43">
        <v>2</v>
      </c>
      <c r="H177" s="43" t="s">
        <v>59</v>
      </c>
      <c r="I177" s="43" t="s">
        <v>30</v>
      </c>
      <c r="J177" s="43" t="s">
        <v>46</v>
      </c>
      <c r="K177" s="43" t="s">
        <v>607</v>
      </c>
      <c r="L177" s="44">
        <v>83227.539999999994</v>
      </c>
      <c r="M177" s="44">
        <v>80088.460000000006</v>
      </c>
      <c r="N177" s="43" t="s">
        <v>74</v>
      </c>
      <c r="O177" s="42" t="s">
        <v>16</v>
      </c>
    </row>
    <row r="178" spans="1:15" ht="15.75" customHeight="1" x14ac:dyDescent="0.3">
      <c r="A178" s="40" t="s">
        <v>608</v>
      </c>
      <c r="B178" s="40" t="s">
        <v>609</v>
      </c>
      <c r="C178" s="40">
        <v>62</v>
      </c>
      <c r="D178" s="40" t="s">
        <v>124</v>
      </c>
      <c r="E178" s="41">
        <v>26</v>
      </c>
      <c r="F178" s="40" t="s">
        <v>116</v>
      </c>
      <c r="G178" s="40">
        <v>3</v>
      </c>
      <c r="H178" s="40" t="s">
        <v>63</v>
      </c>
      <c r="I178" s="40" t="s">
        <v>32</v>
      </c>
      <c r="J178" s="40" t="s">
        <v>49</v>
      </c>
      <c r="K178" s="40" t="s">
        <v>610</v>
      </c>
      <c r="L178" s="41"/>
      <c r="M178" s="41">
        <v>37431.21</v>
      </c>
      <c r="N178" s="40"/>
      <c r="O178" s="42" t="s">
        <v>16</v>
      </c>
    </row>
    <row r="179" spans="1:15" ht="15.75" customHeight="1" x14ac:dyDescent="0.3">
      <c r="A179" s="43" t="s">
        <v>611</v>
      </c>
      <c r="B179" s="43" t="s">
        <v>612</v>
      </c>
      <c r="C179" s="43">
        <v>68</v>
      </c>
      <c r="D179" s="43" t="s">
        <v>124</v>
      </c>
      <c r="E179" s="44">
        <v>42</v>
      </c>
      <c r="F179" s="43" t="s">
        <v>116</v>
      </c>
      <c r="G179" s="43">
        <v>0</v>
      </c>
      <c r="H179" s="43" t="s">
        <v>61</v>
      </c>
      <c r="I179" s="43" t="s">
        <v>31</v>
      </c>
      <c r="J179" s="43" t="s">
        <v>42</v>
      </c>
      <c r="K179" s="43" t="s">
        <v>430</v>
      </c>
      <c r="L179" s="44">
        <v>98253.11</v>
      </c>
      <c r="M179" s="44">
        <v>73916.240000000005</v>
      </c>
      <c r="N179" s="43" t="s">
        <v>74</v>
      </c>
      <c r="O179" s="45" t="s">
        <v>18</v>
      </c>
    </row>
    <row r="180" spans="1:15" ht="15.75" customHeight="1" x14ac:dyDescent="0.3">
      <c r="A180" s="40" t="s">
        <v>613</v>
      </c>
      <c r="B180" s="40" t="s">
        <v>614</v>
      </c>
      <c r="C180" s="40">
        <v>42</v>
      </c>
      <c r="D180" s="40" t="s">
        <v>124</v>
      </c>
      <c r="E180" s="41">
        <v>16.2</v>
      </c>
      <c r="F180" s="40" t="s">
        <v>116</v>
      </c>
      <c r="G180" s="40">
        <v>4</v>
      </c>
      <c r="H180" s="40" t="s">
        <v>57</v>
      </c>
      <c r="I180" s="40" t="s">
        <v>30</v>
      </c>
      <c r="J180" s="40" t="s">
        <v>46</v>
      </c>
      <c r="K180" s="40" t="s">
        <v>615</v>
      </c>
      <c r="L180" s="41">
        <v>8411.15</v>
      </c>
      <c r="M180" s="41">
        <v>6346.62</v>
      </c>
      <c r="N180" s="40"/>
      <c r="O180" s="42" t="s">
        <v>16</v>
      </c>
    </row>
    <row r="181" spans="1:15" ht="15.75" customHeight="1" x14ac:dyDescent="0.3">
      <c r="A181" s="43" t="s">
        <v>616</v>
      </c>
      <c r="B181" s="43" t="s">
        <v>617</v>
      </c>
      <c r="C181" s="43">
        <v>75</v>
      </c>
      <c r="D181" s="43" t="s">
        <v>124</v>
      </c>
      <c r="E181" s="44"/>
      <c r="F181" s="43" t="s">
        <v>128</v>
      </c>
      <c r="G181" s="43">
        <v>2</v>
      </c>
      <c r="H181" s="43" t="s">
        <v>59</v>
      </c>
      <c r="I181" s="43" t="s">
        <v>28</v>
      </c>
      <c r="J181" s="43" t="s">
        <v>44</v>
      </c>
      <c r="K181" s="43" t="s">
        <v>618</v>
      </c>
      <c r="L181" s="44">
        <v>38398.82</v>
      </c>
      <c r="M181" s="44">
        <v>20061.759999999998</v>
      </c>
      <c r="N181" s="43" t="s">
        <v>75</v>
      </c>
      <c r="O181" s="46" t="s">
        <v>17</v>
      </c>
    </row>
    <row r="182" spans="1:15" ht="15.75" customHeight="1" x14ac:dyDescent="0.3">
      <c r="A182" s="40" t="s">
        <v>619</v>
      </c>
      <c r="B182" s="40" t="s">
        <v>620</v>
      </c>
      <c r="C182" s="40">
        <v>34</v>
      </c>
      <c r="D182" s="40" t="s">
        <v>120</v>
      </c>
      <c r="E182" s="41">
        <v>35.5</v>
      </c>
      <c r="F182" s="40" t="s">
        <v>116</v>
      </c>
      <c r="G182" s="40">
        <v>1</v>
      </c>
      <c r="H182" s="40" t="s">
        <v>61</v>
      </c>
      <c r="I182" s="40" t="s">
        <v>29</v>
      </c>
      <c r="J182" s="40" t="s">
        <v>46</v>
      </c>
      <c r="K182" s="40" t="s">
        <v>621</v>
      </c>
      <c r="L182" s="41">
        <v>29376.58</v>
      </c>
      <c r="M182" s="41">
        <v>23806.83</v>
      </c>
      <c r="N182" s="40"/>
      <c r="O182" s="45" t="s">
        <v>18</v>
      </c>
    </row>
    <row r="183" spans="1:15" ht="15.75" customHeight="1" x14ac:dyDescent="0.3">
      <c r="A183" s="43" t="s">
        <v>622</v>
      </c>
      <c r="B183" s="43" t="s">
        <v>623</v>
      </c>
      <c r="C183" s="43">
        <v>24</v>
      </c>
      <c r="D183" s="43" t="s">
        <v>120</v>
      </c>
      <c r="E183" s="44"/>
      <c r="F183" s="43" t="s">
        <v>116</v>
      </c>
      <c r="G183" s="43">
        <v>3</v>
      </c>
      <c r="H183" s="43" t="s">
        <v>57</v>
      </c>
      <c r="I183" s="43" t="s">
        <v>31</v>
      </c>
      <c r="J183" s="43" t="s">
        <v>42</v>
      </c>
      <c r="K183" s="43" t="s">
        <v>624</v>
      </c>
      <c r="L183" s="44">
        <v>15592.4</v>
      </c>
      <c r="M183" s="44">
        <v>11796.78</v>
      </c>
      <c r="N183" s="43" t="s">
        <v>73</v>
      </c>
      <c r="O183" s="42" t="s">
        <v>16</v>
      </c>
    </row>
    <row r="184" spans="1:15" ht="15.75" customHeight="1" x14ac:dyDescent="0.3">
      <c r="A184" s="40" t="s">
        <v>625</v>
      </c>
      <c r="B184" s="40" t="s">
        <v>626</v>
      </c>
      <c r="C184" s="40">
        <v>52</v>
      </c>
      <c r="D184" s="40" t="s">
        <v>115</v>
      </c>
      <c r="E184" s="41">
        <v>38.5</v>
      </c>
      <c r="F184" s="40" t="s">
        <v>128</v>
      </c>
      <c r="G184" s="40">
        <v>1</v>
      </c>
      <c r="H184" s="40" t="s">
        <v>63</v>
      </c>
      <c r="I184" s="40" t="s">
        <v>32</v>
      </c>
      <c r="J184" s="40" t="s">
        <v>50</v>
      </c>
      <c r="K184" s="40" t="s">
        <v>627</v>
      </c>
      <c r="L184" s="41">
        <v>69862.509999999995</v>
      </c>
      <c r="M184" s="41">
        <v>60291.01</v>
      </c>
      <c r="N184" s="40"/>
      <c r="O184" s="46" t="s">
        <v>17</v>
      </c>
    </row>
    <row r="185" spans="1:15" ht="15.75" customHeight="1" x14ac:dyDescent="0.3">
      <c r="A185" s="43" t="s">
        <v>628</v>
      </c>
      <c r="B185" s="43" t="s">
        <v>532</v>
      </c>
      <c r="C185" s="43">
        <v>55</v>
      </c>
      <c r="D185" s="43" t="s">
        <v>115</v>
      </c>
      <c r="E185" s="44">
        <v>20.8</v>
      </c>
      <c r="F185" s="43" t="s">
        <v>128</v>
      </c>
      <c r="G185" s="43">
        <v>4</v>
      </c>
      <c r="H185" s="43" t="s">
        <v>63</v>
      </c>
      <c r="I185" s="43" t="s">
        <v>32</v>
      </c>
      <c r="J185" s="43" t="s">
        <v>40</v>
      </c>
      <c r="K185" s="43" t="s">
        <v>629</v>
      </c>
      <c r="L185" s="44">
        <v>38388.99</v>
      </c>
      <c r="M185" s="44">
        <v>23975.24</v>
      </c>
      <c r="N185" s="43"/>
      <c r="O185" s="42" t="s">
        <v>16</v>
      </c>
    </row>
    <row r="186" spans="1:15" ht="15.75" customHeight="1" x14ac:dyDescent="0.3">
      <c r="A186" s="40" t="s">
        <v>630</v>
      </c>
      <c r="B186" s="40" t="s">
        <v>631</v>
      </c>
      <c r="C186" s="40">
        <v>61</v>
      </c>
      <c r="D186" s="40" t="s">
        <v>120</v>
      </c>
      <c r="E186" s="41">
        <v>49.9</v>
      </c>
      <c r="F186" s="40" t="s">
        <v>116</v>
      </c>
      <c r="G186" s="40">
        <v>2</v>
      </c>
      <c r="H186" s="40" t="s">
        <v>63</v>
      </c>
      <c r="I186" s="40" t="s">
        <v>30</v>
      </c>
      <c r="J186" s="40" t="s">
        <v>49</v>
      </c>
      <c r="K186" s="40" t="s">
        <v>632</v>
      </c>
      <c r="L186" s="41">
        <v>47696.800000000003</v>
      </c>
      <c r="M186" s="41">
        <v>33929.519999999997</v>
      </c>
      <c r="N186" s="40" t="s">
        <v>75</v>
      </c>
      <c r="O186" s="42" t="s">
        <v>16</v>
      </c>
    </row>
    <row r="187" spans="1:15" ht="15.75" customHeight="1" x14ac:dyDescent="0.3">
      <c r="A187" s="43" t="s">
        <v>633</v>
      </c>
      <c r="B187" s="43" t="s">
        <v>634</v>
      </c>
      <c r="C187" s="43">
        <v>57</v>
      </c>
      <c r="D187" s="43" t="s">
        <v>120</v>
      </c>
      <c r="E187" s="44">
        <v>46.7</v>
      </c>
      <c r="F187" s="43" t="s">
        <v>116</v>
      </c>
      <c r="G187" s="43">
        <v>1</v>
      </c>
      <c r="H187" s="43" t="s">
        <v>61</v>
      </c>
      <c r="I187" s="43" t="s">
        <v>29</v>
      </c>
      <c r="J187" s="43" t="s">
        <v>40</v>
      </c>
      <c r="K187" s="43" t="s">
        <v>635</v>
      </c>
      <c r="L187" s="44">
        <v>78885.320000000007</v>
      </c>
      <c r="M187" s="44">
        <v>70759.8</v>
      </c>
      <c r="N187" s="43"/>
      <c r="O187" s="45" t="s">
        <v>18</v>
      </c>
    </row>
    <row r="188" spans="1:15" ht="15.75" customHeight="1" x14ac:dyDescent="0.3">
      <c r="A188" s="40" t="s">
        <v>636</v>
      </c>
      <c r="B188" s="40" t="s">
        <v>637</v>
      </c>
      <c r="C188" s="40">
        <v>36</v>
      </c>
      <c r="D188" s="40" t="s">
        <v>115</v>
      </c>
      <c r="E188" s="41">
        <v>38</v>
      </c>
      <c r="F188" s="40" t="s">
        <v>116</v>
      </c>
      <c r="G188" s="40">
        <v>1</v>
      </c>
      <c r="H188" s="40" t="s">
        <v>57</v>
      </c>
      <c r="I188" s="40" t="s">
        <v>30</v>
      </c>
      <c r="J188" s="40" t="s">
        <v>46</v>
      </c>
      <c r="K188" s="40" t="s">
        <v>638</v>
      </c>
      <c r="L188" s="41">
        <v>9393.76</v>
      </c>
      <c r="M188" s="41">
        <v>6808.66</v>
      </c>
      <c r="N188" s="40"/>
      <c r="O188" s="45" t="s">
        <v>18</v>
      </c>
    </row>
    <row r="189" spans="1:15" ht="15.75" customHeight="1" x14ac:dyDescent="0.3">
      <c r="A189" s="43" t="s">
        <v>639</v>
      </c>
      <c r="B189" s="43" t="s">
        <v>640</v>
      </c>
      <c r="C189" s="43">
        <v>34</v>
      </c>
      <c r="D189" s="43" t="s">
        <v>115</v>
      </c>
      <c r="E189" s="44">
        <v>24.8</v>
      </c>
      <c r="F189" s="43" t="s">
        <v>128</v>
      </c>
      <c r="G189" s="43">
        <v>2</v>
      </c>
      <c r="H189" s="43" t="s">
        <v>63</v>
      </c>
      <c r="I189" s="43" t="s">
        <v>29</v>
      </c>
      <c r="J189" s="43" t="s">
        <v>47</v>
      </c>
      <c r="K189" s="43" t="s">
        <v>641</v>
      </c>
      <c r="L189" s="44">
        <v>95747.04</v>
      </c>
      <c r="M189" s="44">
        <v>92865.72</v>
      </c>
      <c r="N189" s="43"/>
      <c r="O189" s="46" t="s">
        <v>17</v>
      </c>
    </row>
    <row r="190" spans="1:15" ht="15.75" customHeight="1" x14ac:dyDescent="0.3">
      <c r="A190" s="40" t="s">
        <v>642</v>
      </c>
      <c r="B190" s="40" t="s">
        <v>643</v>
      </c>
      <c r="C190" s="40">
        <v>21</v>
      </c>
      <c r="D190" s="40" t="s">
        <v>120</v>
      </c>
      <c r="E190" s="41">
        <v>42.7</v>
      </c>
      <c r="F190" s="40" t="s">
        <v>116</v>
      </c>
      <c r="G190" s="40">
        <v>4</v>
      </c>
      <c r="H190" s="40" t="s">
        <v>65</v>
      </c>
      <c r="I190" s="40" t="s">
        <v>30</v>
      </c>
      <c r="J190" s="40" t="s">
        <v>46</v>
      </c>
      <c r="K190" s="40" t="s">
        <v>644</v>
      </c>
      <c r="L190" s="41">
        <v>48148.72</v>
      </c>
      <c r="M190" s="41">
        <v>36734.36</v>
      </c>
      <c r="N190" s="40"/>
      <c r="O190" s="46" t="s">
        <v>17</v>
      </c>
    </row>
    <row r="191" spans="1:15" ht="15.75" customHeight="1" x14ac:dyDescent="0.3">
      <c r="A191" s="43" t="s">
        <v>645</v>
      </c>
      <c r="B191" s="43" t="s">
        <v>646</v>
      </c>
      <c r="C191" s="43">
        <v>53</v>
      </c>
      <c r="D191" s="43" t="s">
        <v>124</v>
      </c>
      <c r="E191" s="44">
        <v>33.5</v>
      </c>
      <c r="F191" s="43" t="s">
        <v>128</v>
      </c>
      <c r="G191" s="43">
        <v>0</v>
      </c>
      <c r="H191" s="43" t="s">
        <v>61</v>
      </c>
      <c r="I191" s="43" t="s">
        <v>28</v>
      </c>
      <c r="J191" s="43" t="s">
        <v>44</v>
      </c>
      <c r="K191" s="43" t="s">
        <v>647</v>
      </c>
      <c r="L191" s="44">
        <v>31926.85</v>
      </c>
      <c r="M191" s="44">
        <v>26450.34</v>
      </c>
      <c r="N191" s="43"/>
      <c r="O191" s="42" t="s">
        <v>16</v>
      </c>
    </row>
    <row r="192" spans="1:15" ht="15.75" customHeight="1" x14ac:dyDescent="0.3">
      <c r="A192" s="40" t="s">
        <v>648</v>
      </c>
      <c r="B192" s="40" t="s">
        <v>593</v>
      </c>
      <c r="C192" s="40">
        <v>74</v>
      </c>
      <c r="D192" s="40" t="s">
        <v>120</v>
      </c>
      <c r="E192" s="41">
        <v>41.5</v>
      </c>
      <c r="F192" s="40" t="s">
        <v>128</v>
      </c>
      <c r="G192" s="40">
        <v>1</v>
      </c>
      <c r="H192" s="40" t="s">
        <v>59</v>
      </c>
      <c r="I192" s="40" t="s">
        <v>32</v>
      </c>
      <c r="J192" s="40" t="s">
        <v>49</v>
      </c>
      <c r="K192" s="40" t="s">
        <v>649</v>
      </c>
      <c r="L192" s="41">
        <v>97822.6</v>
      </c>
      <c r="M192" s="41">
        <v>54059.25</v>
      </c>
      <c r="N192" s="40" t="s">
        <v>75</v>
      </c>
      <c r="O192" s="42" t="s">
        <v>16</v>
      </c>
    </row>
    <row r="193" spans="1:15" ht="15.75" customHeight="1" x14ac:dyDescent="0.3">
      <c r="A193" s="43" t="s">
        <v>650</v>
      </c>
      <c r="B193" s="43" t="s">
        <v>279</v>
      </c>
      <c r="C193" s="43">
        <v>61</v>
      </c>
      <c r="D193" s="43" t="s">
        <v>120</v>
      </c>
      <c r="E193" s="44">
        <v>27.6</v>
      </c>
      <c r="F193" s="43" t="s">
        <v>116</v>
      </c>
      <c r="G193" s="43">
        <v>3</v>
      </c>
      <c r="H193" s="43" t="s">
        <v>61</v>
      </c>
      <c r="I193" s="43" t="s">
        <v>32</v>
      </c>
      <c r="J193" s="43" t="s">
        <v>46</v>
      </c>
      <c r="K193" s="43" t="s">
        <v>651</v>
      </c>
      <c r="L193" s="44">
        <v>29572.22</v>
      </c>
      <c r="M193" s="44">
        <v>21062.19</v>
      </c>
      <c r="N193" s="43"/>
      <c r="O193" s="42" t="s">
        <v>16</v>
      </c>
    </row>
    <row r="194" spans="1:15" ht="15.75" customHeight="1" x14ac:dyDescent="0.3">
      <c r="A194" s="40" t="s">
        <v>652</v>
      </c>
      <c r="B194" s="40" t="s">
        <v>340</v>
      </c>
      <c r="C194" s="40">
        <v>78</v>
      </c>
      <c r="D194" s="40" t="s">
        <v>124</v>
      </c>
      <c r="E194" s="41"/>
      <c r="F194" s="40" t="s">
        <v>116</v>
      </c>
      <c r="G194" s="40">
        <v>3</v>
      </c>
      <c r="H194" s="40" t="s">
        <v>65</v>
      </c>
      <c r="I194" s="40" t="s">
        <v>31</v>
      </c>
      <c r="J194" s="40" t="s">
        <v>46</v>
      </c>
      <c r="K194" s="40" t="s">
        <v>653</v>
      </c>
      <c r="L194" s="41">
        <v>76228.679999999993</v>
      </c>
      <c r="M194" s="41">
        <v>48928.56</v>
      </c>
      <c r="N194" s="40" t="s">
        <v>75</v>
      </c>
      <c r="O194" s="42" t="s">
        <v>16</v>
      </c>
    </row>
    <row r="195" spans="1:15" ht="15.75" customHeight="1" x14ac:dyDescent="0.3">
      <c r="A195" s="43" t="s">
        <v>654</v>
      </c>
      <c r="B195" s="43" t="s">
        <v>655</v>
      </c>
      <c r="C195" s="43">
        <v>42</v>
      </c>
      <c r="D195" s="43" t="s">
        <v>124</v>
      </c>
      <c r="E195" s="44"/>
      <c r="F195" s="43" t="s">
        <v>128</v>
      </c>
      <c r="G195" s="43">
        <v>4</v>
      </c>
      <c r="H195" s="43" t="s">
        <v>61</v>
      </c>
      <c r="I195" s="43" t="s">
        <v>32</v>
      </c>
      <c r="J195" s="43" t="s">
        <v>48</v>
      </c>
      <c r="K195" s="43" t="s">
        <v>277</v>
      </c>
      <c r="L195" s="44">
        <v>23713.02</v>
      </c>
      <c r="M195" s="44">
        <v>13161.77</v>
      </c>
      <c r="N195" s="43"/>
      <c r="O195" s="42" t="s">
        <v>16</v>
      </c>
    </row>
    <row r="196" spans="1:15" ht="15.75" customHeight="1" x14ac:dyDescent="0.3">
      <c r="A196" s="40" t="s">
        <v>656</v>
      </c>
      <c r="B196" s="40" t="s">
        <v>522</v>
      </c>
      <c r="C196" s="40">
        <v>65</v>
      </c>
      <c r="D196" s="40" t="s">
        <v>124</v>
      </c>
      <c r="E196" s="41">
        <v>34.1</v>
      </c>
      <c r="F196" s="40" t="s">
        <v>128</v>
      </c>
      <c r="G196" s="40">
        <v>0</v>
      </c>
      <c r="H196" s="40" t="s">
        <v>63</v>
      </c>
      <c r="I196" s="40" t="s">
        <v>29</v>
      </c>
      <c r="J196" s="40" t="s">
        <v>50</v>
      </c>
      <c r="K196" s="40" t="s">
        <v>657</v>
      </c>
      <c r="L196" s="41">
        <v>67265.58</v>
      </c>
      <c r="M196" s="41">
        <v>60290.71</v>
      </c>
      <c r="N196" s="40"/>
      <c r="O196" s="42" t="s">
        <v>16</v>
      </c>
    </row>
    <row r="197" spans="1:15" ht="15.75" customHeight="1" x14ac:dyDescent="0.3">
      <c r="A197" s="43" t="s">
        <v>658</v>
      </c>
      <c r="B197" s="43" t="s">
        <v>659</v>
      </c>
      <c r="C197" s="43">
        <v>48</v>
      </c>
      <c r="D197" s="43" t="s">
        <v>115</v>
      </c>
      <c r="E197" s="44">
        <v>16.399999999999999</v>
      </c>
      <c r="F197" s="43" t="s">
        <v>116</v>
      </c>
      <c r="G197" s="43">
        <v>2</v>
      </c>
      <c r="H197" s="43" t="s">
        <v>63</v>
      </c>
      <c r="I197" s="43" t="s">
        <v>28</v>
      </c>
      <c r="J197" s="43" t="s">
        <v>44</v>
      </c>
      <c r="K197" s="43" t="s">
        <v>660</v>
      </c>
      <c r="L197" s="44">
        <v>48362.559999999998</v>
      </c>
      <c r="M197" s="44">
        <v>44975.199999999997</v>
      </c>
      <c r="N197" s="43"/>
      <c r="O197" s="45" t="s">
        <v>18</v>
      </c>
    </row>
    <row r="198" spans="1:15" ht="15.75" customHeight="1" x14ac:dyDescent="0.3">
      <c r="A198" s="40" t="s">
        <v>661</v>
      </c>
      <c r="B198" s="40" t="s">
        <v>662</v>
      </c>
      <c r="C198" s="40">
        <v>70</v>
      </c>
      <c r="D198" s="40" t="s">
        <v>124</v>
      </c>
      <c r="E198" s="41">
        <v>23.6</v>
      </c>
      <c r="F198" s="40" t="s">
        <v>116</v>
      </c>
      <c r="G198" s="40">
        <v>2</v>
      </c>
      <c r="H198" s="40" t="s">
        <v>59</v>
      </c>
      <c r="I198" s="40" t="s">
        <v>29</v>
      </c>
      <c r="J198" s="40" t="s">
        <v>47</v>
      </c>
      <c r="K198" s="40" t="s">
        <v>663</v>
      </c>
      <c r="L198" s="41">
        <v>103507.71</v>
      </c>
      <c r="M198" s="41">
        <v>95064.18</v>
      </c>
      <c r="N198" s="40"/>
      <c r="O198" s="42" t="s">
        <v>16</v>
      </c>
    </row>
    <row r="199" spans="1:15" ht="15.75" customHeight="1" x14ac:dyDescent="0.3">
      <c r="A199" s="43" t="s">
        <v>664</v>
      </c>
      <c r="B199" s="43" t="s">
        <v>532</v>
      </c>
      <c r="C199" s="43">
        <v>28</v>
      </c>
      <c r="D199" s="43" t="s">
        <v>124</v>
      </c>
      <c r="E199" s="44">
        <v>44.9</v>
      </c>
      <c r="F199" s="43" t="s">
        <v>116</v>
      </c>
      <c r="G199" s="43">
        <v>2</v>
      </c>
      <c r="H199" s="43" t="s">
        <v>61</v>
      </c>
      <c r="I199" s="43" t="s">
        <v>32</v>
      </c>
      <c r="J199" s="43" t="s">
        <v>44</v>
      </c>
      <c r="K199" s="43" t="s">
        <v>332</v>
      </c>
      <c r="L199" s="44">
        <v>48163.09</v>
      </c>
      <c r="M199" s="44">
        <v>31708.06</v>
      </c>
      <c r="N199" s="43" t="s">
        <v>74</v>
      </c>
      <c r="O199" s="42" t="s">
        <v>16</v>
      </c>
    </row>
    <row r="200" spans="1:15" ht="15.75" customHeight="1" x14ac:dyDescent="0.3">
      <c r="A200" s="40" t="s">
        <v>665</v>
      </c>
      <c r="B200" s="40" t="s">
        <v>666</v>
      </c>
      <c r="C200" s="40">
        <v>84</v>
      </c>
      <c r="D200" s="40" t="s">
        <v>120</v>
      </c>
      <c r="E200" s="41">
        <v>43.6</v>
      </c>
      <c r="F200" s="40" t="s">
        <v>128</v>
      </c>
      <c r="G200" s="40">
        <v>0</v>
      </c>
      <c r="H200" s="40" t="s">
        <v>65</v>
      </c>
      <c r="I200" s="40" t="s">
        <v>32</v>
      </c>
      <c r="J200" s="40" t="s">
        <v>50</v>
      </c>
      <c r="K200" s="40" t="s">
        <v>667</v>
      </c>
      <c r="L200" s="41">
        <v>82386.460000000006</v>
      </c>
      <c r="M200" s="41">
        <v>44385.64</v>
      </c>
      <c r="N200" s="40"/>
      <c r="O200" s="42" t="s">
        <v>16</v>
      </c>
    </row>
    <row r="201" spans="1:15" ht="15.75" customHeight="1" x14ac:dyDescent="0.3">
      <c r="A201" s="43" t="s">
        <v>668</v>
      </c>
      <c r="B201" s="43" t="s">
        <v>669</v>
      </c>
      <c r="C201" s="43">
        <v>66</v>
      </c>
      <c r="D201" s="43" t="s">
        <v>115</v>
      </c>
      <c r="E201" s="44">
        <v>29.6</v>
      </c>
      <c r="F201" s="43" t="s">
        <v>116</v>
      </c>
      <c r="G201" s="43">
        <v>2</v>
      </c>
      <c r="H201" s="43" t="s">
        <v>61</v>
      </c>
      <c r="I201" s="43" t="s">
        <v>31</v>
      </c>
      <c r="J201" s="43" t="s">
        <v>50</v>
      </c>
      <c r="K201" s="43" t="s">
        <v>670</v>
      </c>
      <c r="L201" s="44">
        <v>117941.62</v>
      </c>
      <c r="M201" s="44">
        <v>92337.17</v>
      </c>
      <c r="N201" s="43"/>
      <c r="O201" s="46" t="s">
        <v>17</v>
      </c>
    </row>
    <row r="202" spans="1:15" ht="15.75" customHeight="1" x14ac:dyDescent="0.3">
      <c r="A202" s="40" t="s">
        <v>671</v>
      </c>
      <c r="B202" s="40" t="s">
        <v>296</v>
      </c>
      <c r="C202" s="40">
        <v>31</v>
      </c>
      <c r="D202" s="40" t="s">
        <v>115</v>
      </c>
      <c r="E202" s="41">
        <v>29.4</v>
      </c>
      <c r="F202" s="40" t="s">
        <v>128</v>
      </c>
      <c r="G202" s="40">
        <v>4</v>
      </c>
      <c r="H202" s="40" t="s">
        <v>65</v>
      </c>
      <c r="I202" s="40" t="s">
        <v>32</v>
      </c>
      <c r="J202" s="40" t="s">
        <v>40</v>
      </c>
      <c r="K202" s="40" t="s">
        <v>672</v>
      </c>
      <c r="L202" s="41">
        <v>782.08</v>
      </c>
      <c r="M202" s="41">
        <v>752.16</v>
      </c>
      <c r="N202" s="40"/>
      <c r="O202" s="42" t="s">
        <v>16</v>
      </c>
    </row>
    <row r="203" spans="1:15" ht="15.75" customHeight="1" x14ac:dyDescent="0.3">
      <c r="A203" s="43" t="s">
        <v>673</v>
      </c>
      <c r="B203" s="43" t="s">
        <v>206</v>
      </c>
      <c r="C203" s="43">
        <v>80</v>
      </c>
      <c r="D203" s="43" t="s">
        <v>124</v>
      </c>
      <c r="E203" s="44">
        <v>20.9</v>
      </c>
      <c r="F203" s="43" t="s">
        <v>116</v>
      </c>
      <c r="G203" s="43">
        <v>2</v>
      </c>
      <c r="H203" s="43" t="s">
        <v>63</v>
      </c>
      <c r="I203" s="43" t="s">
        <v>32</v>
      </c>
      <c r="J203" s="43" t="s">
        <v>42</v>
      </c>
      <c r="K203" s="43" t="s">
        <v>674</v>
      </c>
      <c r="L203" s="44">
        <v>11146.69</v>
      </c>
      <c r="M203" s="44">
        <v>8327.3799999999992</v>
      </c>
      <c r="N203" s="43"/>
      <c r="O203" s="42" t="s">
        <v>16</v>
      </c>
    </row>
    <row r="204" spans="1:15" ht="15.75" customHeight="1" x14ac:dyDescent="0.3">
      <c r="A204" s="40" t="s">
        <v>675</v>
      </c>
      <c r="B204" s="40" t="s">
        <v>676</v>
      </c>
      <c r="C204" s="40">
        <v>31</v>
      </c>
      <c r="D204" s="40" t="s">
        <v>120</v>
      </c>
      <c r="E204" s="41">
        <v>44</v>
      </c>
      <c r="F204" s="40" t="s">
        <v>116</v>
      </c>
      <c r="G204" s="40">
        <v>2</v>
      </c>
      <c r="H204" s="40" t="s">
        <v>57</v>
      </c>
      <c r="I204" s="40" t="s">
        <v>29</v>
      </c>
      <c r="J204" s="40" t="s">
        <v>48</v>
      </c>
      <c r="K204" s="40" t="s">
        <v>677</v>
      </c>
      <c r="L204" s="41">
        <v>68764.59</v>
      </c>
      <c r="M204" s="41">
        <v>58701.54</v>
      </c>
      <c r="N204" s="40"/>
      <c r="O204" s="46" t="s">
        <v>17</v>
      </c>
    </row>
    <row r="205" spans="1:15" ht="15.75" customHeight="1" x14ac:dyDescent="0.3">
      <c r="A205" s="43" t="s">
        <v>678</v>
      </c>
      <c r="B205" s="43" t="s">
        <v>123</v>
      </c>
      <c r="C205" s="43">
        <v>79</v>
      </c>
      <c r="D205" s="43" t="s">
        <v>115</v>
      </c>
      <c r="E205" s="44">
        <v>21.9</v>
      </c>
      <c r="F205" s="43" t="s">
        <v>128</v>
      </c>
      <c r="G205" s="43">
        <v>4</v>
      </c>
      <c r="H205" s="43" t="s">
        <v>61</v>
      </c>
      <c r="I205" s="43" t="s">
        <v>30</v>
      </c>
      <c r="J205" s="43" t="s">
        <v>42</v>
      </c>
      <c r="K205" s="43" t="s">
        <v>679</v>
      </c>
      <c r="L205" s="44">
        <v>30143.1</v>
      </c>
      <c r="M205" s="44">
        <v>26155.15</v>
      </c>
      <c r="N205" s="43" t="s">
        <v>75</v>
      </c>
      <c r="O205" s="42" t="s">
        <v>16</v>
      </c>
    </row>
    <row r="206" spans="1:15" ht="15.75" customHeight="1" x14ac:dyDescent="0.3">
      <c r="A206" s="40" t="s">
        <v>680</v>
      </c>
      <c r="B206" s="40" t="s">
        <v>420</v>
      </c>
      <c r="C206" s="40">
        <v>60</v>
      </c>
      <c r="D206" s="40" t="s">
        <v>115</v>
      </c>
      <c r="E206" s="41">
        <v>17.5</v>
      </c>
      <c r="F206" s="40" t="s">
        <v>128</v>
      </c>
      <c r="G206" s="40">
        <v>2</v>
      </c>
      <c r="H206" s="40" t="s">
        <v>57</v>
      </c>
      <c r="I206" s="40" t="s">
        <v>31</v>
      </c>
      <c r="J206" s="40" t="s">
        <v>42</v>
      </c>
      <c r="K206" s="40" t="s">
        <v>681</v>
      </c>
      <c r="L206" s="41">
        <v>1227.58</v>
      </c>
      <c r="M206" s="41">
        <v>911.39</v>
      </c>
      <c r="N206" s="40" t="s">
        <v>74</v>
      </c>
      <c r="O206" s="45" t="s">
        <v>18</v>
      </c>
    </row>
    <row r="207" spans="1:15" ht="15.75" customHeight="1" x14ac:dyDescent="0.3">
      <c r="A207" s="43" t="s">
        <v>682</v>
      </c>
      <c r="B207" s="43" t="s">
        <v>683</v>
      </c>
      <c r="C207" s="43">
        <v>50</v>
      </c>
      <c r="D207" s="43" t="s">
        <v>120</v>
      </c>
      <c r="E207" s="44">
        <v>37.799999999999997</v>
      </c>
      <c r="F207" s="43" t="s">
        <v>116</v>
      </c>
      <c r="G207" s="43">
        <v>0</v>
      </c>
      <c r="H207" s="43" t="s">
        <v>63</v>
      </c>
      <c r="I207" s="43" t="s">
        <v>30</v>
      </c>
      <c r="J207" s="43" t="s">
        <v>49</v>
      </c>
      <c r="K207" s="43" t="s">
        <v>684</v>
      </c>
      <c r="L207" s="44">
        <v>113324.91</v>
      </c>
      <c r="M207" s="44">
        <v>94381.11</v>
      </c>
      <c r="N207" s="43" t="s">
        <v>75</v>
      </c>
      <c r="O207" s="46" t="s">
        <v>17</v>
      </c>
    </row>
    <row r="208" spans="1:15" ht="15.75" customHeight="1" x14ac:dyDescent="0.3">
      <c r="A208" s="40" t="s">
        <v>685</v>
      </c>
      <c r="B208" s="40" t="s">
        <v>230</v>
      </c>
      <c r="C208" s="40">
        <v>84</v>
      </c>
      <c r="D208" s="40" t="s">
        <v>124</v>
      </c>
      <c r="E208" s="41">
        <v>46.7</v>
      </c>
      <c r="F208" s="40" t="s">
        <v>128</v>
      </c>
      <c r="G208" s="40">
        <v>2</v>
      </c>
      <c r="H208" s="40" t="s">
        <v>63</v>
      </c>
      <c r="I208" s="40" t="s">
        <v>31</v>
      </c>
      <c r="J208" s="40" t="s">
        <v>40</v>
      </c>
      <c r="K208" s="40" t="s">
        <v>686</v>
      </c>
      <c r="L208" s="41">
        <v>34566.559999999998</v>
      </c>
      <c r="M208" s="41">
        <v>31505.69</v>
      </c>
      <c r="N208" s="40" t="s">
        <v>74</v>
      </c>
      <c r="O208" s="42" t="s">
        <v>16</v>
      </c>
    </row>
    <row r="209" spans="1:15" ht="15.75" customHeight="1" x14ac:dyDescent="0.3">
      <c r="A209" s="43" t="s">
        <v>687</v>
      </c>
      <c r="B209" s="43" t="s">
        <v>688</v>
      </c>
      <c r="C209" s="43">
        <v>38</v>
      </c>
      <c r="D209" s="43" t="s">
        <v>120</v>
      </c>
      <c r="E209" s="44">
        <v>46.1</v>
      </c>
      <c r="F209" s="43" t="s">
        <v>128</v>
      </c>
      <c r="G209" s="43">
        <v>3</v>
      </c>
      <c r="H209" s="43" t="s">
        <v>61</v>
      </c>
      <c r="I209" s="43" t="s">
        <v>30</v>
      </c>
      <c r="J209" s="43" t="s">
        <v>46</v>
      </c>
      <c r="K209" s="43" t="s">
        <v>689</v>
      </c>
      <c r="L209" s="44">
        <v>119606.87</v>
      </c>
      <c r="M209" s="44">
        <v>67481.210000000006</v>
      </c>
      <c r="N209" s="43"/>
      <c r="O209" s="42" t="s">
        <v>16</v>
      </c>
    </row>
    <row r="210" spans="1:15" ht="15.75" customHeight="1" x14ac:dyDescent="0.3">
      <c r="A210" s="40" t="s">
        <v>690</v>
      </c>
      <c r="B210" s="40" t="s">
        <v>412</v>
      </c>
      <c r="C210" s="40">
        <v>56</v>
      </c>
      <c r="D210" s="40" t="s">
        <v>120</v>
      </c>
      <c r="E210" s="41">
        <v>47.2</v>
      </c>
      <c r="F210" s="40" t="s">
        <v>116</v>
      </c>
      <c r="G210" s="40">
        <v>0</v>
      </c>
      <c r="H210" s="40" t="s">
        <v>63</v>
      </c>
      <c r="I210" s="40" t="s">
        <v>31</v>
      </c>
      <c r="J210" s="40" t="s">
        <v>40</v>
      </c>
      <c r="K210" s="40" t="s">
        <v>691</v>
      </c>
      <c r="L210" s="41">
        <v>25543.02</v>
      </c>
      <c r="M210" s="41">
        <v>16436.099999999999</v>
      </c>
      <c r="N210" s="40"/>
      <c r="O210" s="45" t="s">
        <v>18</v>
      </c>
    </row>
    <row r="211" spans="1:15" ht="15.75" customHeight="1" x14ac:dyDescent="0.3">
      <c r="A211" s="43" t="s">
        <v>692</v>
      </c>
      <c r="B211" s="43" t="s">
        <v>245</v>
      </c>
      <c r="C211" s="43">
        <v>43</v>
      </c>
      <c r="D211" s="43" t="s">
        <v>120</v>
      </c>
      <c r="E211" s="44">
        <v>20.8</v>
      </c>
      <c r="F211" s="43" t="s">
        <v>128</v>
      </c>
      <c r="G211" s="43">
        <v>4</v>
      </c>
      <c r="H211" s="43" t="s">
        <v>63</v>
      </c>
      <c r="I211" s="43" t="s">
        <v>29</v>
      </c>
      <c r="J211" s="43" t="s">
        <v>40</v>
      </c>
      <c r="K211" s="43" t="s">
        <v>693</v>
      </c>
      <c r="L211" s="44">
        <v>111078.28</v>
      </c>
      <c r="M211" s="44">
        <v>88481.45</v>
      </c>
      <c r="N211" s="43"/>
      <c r="O211" s="45" t="s">
        <v>18</v>
      </c>
    </row>
    <row r="212" spans="1:15" ht="15.75" customHeight="1" x14ac:dyDescent="0.3">
      <c r="A212" s="40" t="s">
        <v>694</v>
      </c>
      <c r="B212" s="40" t="s">
        <v>695</v>
      </c>
      <c r="C212" s="40">
        <v>80</v>
      </c>
      <c r="D212" s="40" t="s">
        <v>124</v>
      </c>
      <c r="E212" s="41">
        <v>48.2</v>
      </c>
      <c r="F212" s="40" t="s">
        <v>128</v>
      </c>
      <c r="G212" s="40">
        <v>0</v>
      </c>
      <c r="H212" s="40" t="s">
        <v>57</v>
      </c>
      <c r="I212" s="40" t="s">
        <v>30</v>
      </c>
      <c r="J212" s="40" t="s">
        <v>46</v>
      </c>
      <c r="K212" s="40" t="s">
        <v>696</v>
      </c>
      <c r="L212" s="41">
        <v>945.58</v>
      </c>
      <c r="M212" s="41">
        <v>728.88</v>
      </c>
      <c r="N212" s="40"/>
      <c r="O212" s="45" t="s">
        <v>18</v>
      </c>
    </row>
    <row r="213" spans="1:15" ht="15.75" customHeight="1" x14ac:dyDescent="0.3">
      <c r="A213" s="43" t="s">
        <v>697</v>
      </c>
      <c r="B213" s="43" t="s">
        <v>698</v>
      </c>
      <c r="C213" s="43">
        <v>21</v>
      </c>
      <c r="D213" s="43" t="s">
        <v>124</v>
      </c>
      <c r="E213" s="44">
        <v>18</v>
      </c>
      <c r="F213" s="43" t="s">
        <v>116</v>
      </c>
      <c r="G213" s="43">
        <v>2</v>
      </c>
      <c r="H213" s="43" t="s">
        <v>65</v>
      </c>
      <c r="I213" s="43" t="s">
        <v>29</v>
      </c>
      <c r="J213" s="43" t="s">
        <v>48</v>
      </c>
      <c r="K213" s="43" t="s">
        <v>168</v>
      </c>
      <c r="L213" s="44">
        <v>72625.070000000007</v>
      </c>
      <c r="M213" s="44">
        <v>51984.01</v>
      </c>
      <c r="N213" s="43"/>
      <c r="O213" s="42" t="s">
        <v>16</v>
      </c>
    </row>
    <row r="214" spans="1:15" ht="15.75" customHeight="1" x14ac:dyDescent="0.3">
      <c r="A214" s="40" t="s">
        <v>699</v>
      </c>
      <c r="B214" s="40" t="s">
        <v>143</v>
      </c>
      <c r="C214" s="40">
        <v>81</v>
      </c>
      <c r="D214" s="40" t="s">
        <v>124</v>
      </c>
      <c r="E214" s="41">
        <v>42.4</v>
      </c>
      <c r="F214" s="40" t="s">
        <v>128</v>
      </c>
      <c r="G214" s="40">
        <v>3</v>
      </c>
      <c r="H214" s="40" t="s">
        <v>61</v>
      </c>
      <c r="I214" s="40" t="s">
        <v>31</v>
      </c>
      <c r="J214" s="40" t="s">
        <v>49</v>
      </c>
      <c r="K214" s="40" t="s">
        <v>700</v>
      </c>
      <c r="L214" s="41">
        <v>89437.92</v>
      </c>
      <c r="M214" s="41">
        <v>61143.44</v>
      </c>
      <c r="N214" s="40"/>
      <c r="O214" s="42" t="s">
        <v>16</v>
      </c>
    </row>
    <row r="215" spans="1:15" ht="15.75" customHeight="1" x14ac:dyDescent="0.3">
      <c r="A215" s="43" t="s">
        <v>701</v>
      </c>
      <c r="B215" s="43" t="s">
        <v>380</v>
      </c>
      <c r="C215" s="43">
        <v>69</v>
      </c>
      <c r="D215" s="43" t="s">
        <v>115</v>
      </c>
      <c r="E215" s="44">
        <v>38.1</v>
      </c>
      <c r="F215" s="43" t="s">
        <v>116</v>
      </c>
      <c r="G215" s="43">
        <v>2</v>
      </c>
      <c r="H215" s="43" t="s">
        <v>57</v>
      </c>
      <c r="I215" s="43" t="s">
        <v>30</v>
      </c>
      <c r="J215" s="43" t="s">
        <v>46</v>
      </c>
      <c r="K215" s="43" t="s">
        <v>702</v>
      </c>
      <c r="L215" s="44">
        <v>83415.95</v>
      </c>
      <c r="M215" s="44">
        <v>73438.16</v>
      </c>
      <c r="N215" s="43"/>
      <c r="O215" s="42" t="s">
        <v>16</v>
      </c>
    </row>
    <row r="216" spans="1:15" ht="15.75" customHeight="1" x14ac:dyDescent="0.3">
      <c r="A216" s="40" t="s">
        <v>703</v>
      </c>
      <c r="B216" s="40" t="s">
        <v>704</v>
      </c>
      <c r="C216" s="40">
        <v>74</v>
      </c>
      <c r="D216" s="40" t="s">
        <v>120</v>
      </c>
      <c r="E216" s="41">
        <v>27.8</v>
      </c>
      <c r="F216" s="40" t="s">
        <v>116</v>
      </c>
      <c r="G216" s="40">
        <v>1</v>
      </c>
      <c r="H216" s="40" t="s">
        <v>63</v>
      </c>
      <c r="I216" s="40" t="s">
        <v>29</v>
      </c>
      <c r="J216" s="40" t="s">
        <v>47</v>
      </c>
      <c r="K216" s="40" t="s">
        <v>705</v>
      </c>
      <c r="L216" s="41">
        <v>94389.91</v>
      </c>
      <c r="M216" s="41">
        <v>80786.58</v>
      </c>
      <c r="N216" s="40"/>
      <c r="O216" s="46" t="s">
        <v>17</v>
      </c>
    </row>
    <row r="217" spans="1:15" ht="15.75" customHeight="1" x14ac:dyDescent="0.3">
      <c r="A217" s="43" t="s">
        <v>706</v>
      </c>
      <c r="B217" s="43" t="s">
        <v>218</v>
      </c>
      <c r="C217" s="43">
        <v>47</v>
      </c>
      <c r="D217" s="43" t="s">
        <v>120</v>
      </c>
      <c r="E217" s="44">
        <v>41.2</v>
      </c>
      <c r="F217" s="43" t="s">
        <v>116</v>
      </c>
      <c r="G217" s="43">
        <v>0</v>
      </c>
      <c r="H217" s="43" t="s">
        <v>65</v>
      </c>
      <c r="I217" s="43" t="s">
        <v>30</v>
      </c>
      <c r="J217" s="43" t="s">
        <v>49</v>
      </c>
      <c r="K217" s="43" t="s">
        <v>702</v>
      </c>
      <c r="L217" s="44">
        <v>104015.96</v>
      </c>
      <c r="M217" s="44">
        <v>63805.63</v>
      </c>
      <c r="N217" s="43"/>
      <c r="O217" s="42" t="s">
        <v>16</v>
      </c>
    </row>
    <row r="218" spans="1:15" ht="15.75" customHeight="1" x14ac:dyDescent="0.3">
      <c r="A218" s="40" t="s">
        <v>707</v>
      </c>
      <c r="B218" s="40" t="s">
        <v>708</v>
      </c>
      <c r="C218" s="40">
        <v>55</v>
      </c>
      <c r="D218" s="40" t="s">
        <v>120</v>
      </c>
      <c r="E218" s="41">
        <v>26</v>
      </c>
      <c r="F218" s="40" t="s">
        <v>116</v>
      </c>
      <c r="G218" s="40">
        <v>1</v>
      </c>
      <c r="H218" s="40" t="s">
        <v>59</v>
      </c>
      <c r="I218" s="40" t="s">
        <v>31</v>
      </c>
      <c r="J218" s="40" t="s">
        <v>49</v>
      </c>
      <c r="K218" s="40" t="s">
        <v>709</v>
      </c>
      <c r="L218" s="41">
        <v>41079.230000000003</v>
      </c>
      <c r="M218" s="41">
        <v>38728.99</v>
      </c>
      <c r="N218" s="40" t="s">
        <v>74</v>
      </c>
      <c r="O218" s="45" t="s">
        <v>18</v>
      </c>
    </row>
    <row r="219" spans="1:15" ht="15.75" customHeight="1" x14ac:dyDescent="0.3">
      <c r="A219" s="43" t="s">
        <v>710</v>
      </c>
      <c r="B219" s="43" t="s">
        <v>711</v>
      </c>
      <c r="C219" s="43">
        <v>70</v>
      </c>
      <c r="D219" s="43" t="s">
        <v>120</v>
      </c>
      <c r="E219" s="44">
        <v>15</v>
      </c>
      <c r="F219" s="43" t="s">
        <v>116</v>
      </c>
      <c r="G219" s="43">
        <v>1</v>
      </c>
      <c r="H219" s="43" t="s">
        <v>61</v>
      </c>
      <c r="I219" s="43" t="s">
        <v>28</v>
      </c>
      <c r="J219" s="43" t="s">
        <v>50</v>
      </c>
      <c r="K219" s="43" t="s">
        <v>350</v>
      </c>
      <c r="L219" s="44">
        <v>72302.03</v>
      </c>
      <c r="M219" s="44">
        <v>71250.34</v>
      </c>
      <c r="N219" s="43"/>
      <c r="O219" s="46" t="s">
        <v>17</v>
      </c>
    </row>
    <row r="220" spans="1:15" ht="15.75" customHeight="1" x14ac:dyDescent="0.3">
      <c r="A220" s="40" t="s">
        <v>712</v>
      </c>
      <c r="B220" s="40" t="s">
        <v>713</v>
      </c>
      <c r="C220" s="40">
        <v>65</v>
      </c>
      <c r="D220" s="40" t="s">
        <v>115</v>
      </c>
      <c r="E220" s="41">
        <v>25.1</v>
      </c>
      <c r="F220" s="40" t="s">
        <v>116</v>
      </c>
      <c r="G220" s="40">
        <v>4</v>
      </c>
      <c r="H220" s="40" t="s">
        <v>59</v>
      </c>
      <c r="I220" s="40" t="s">
        <v>29</v>
      </c>
      <c r="J220" s="40" t="s">
        <v>40</v>
      </c>
      <c r="K220" s="40" t="s">
        <v>714</v>
      </c>
      <c r="L220" s="41">
        <v>85701.45</v>
      </c>
      <c r="M220" s="41">
        <v>64360.67</v>
      </c>
      <c r="N220" s="40" t="s">
        <v>74</v>
      </c>
      <c r="O220" s="42" t="s">
        <v>16</v>
      </c>
    </row>
    <row r="221" spans="1:15" ht="15.75" customHeight="1" x14ac:dyDescent="0.3">
      <c r="A221" s="43" t="s">
        <v>715</v>
      </c>
      <c r="B221" s="43" t="s">
        <v>716</v>
      </c>
      <c r="C221" s="43">
        <v>53</v>
      </c>
      <c r="D221" s="43" t="s">
        <v>120</v>
      </c>
      <c r="E221" s="44">
        <v>44.2</v>
      </c>
      <c r="F221" s="43" t="s">
        <v>128</v>
      </c>
      <c r="G221" s="43">
        <v>4</v>
      </c>
      <c r="H221" s="43" t="s">
        <v>59</v>
      </c>
      <c r="I221" s="43" t="s">
        <v>31</v>
      </c>
      <c r="J221" s="43" t="s">
        <v>44</v>
      </c>
      <c r="K221" s="43" t="s">
        <v>717</v>
      </c>
      <c r="L221" s="44">
        <v>102990.51</v>
      </c>
      <c r="M221" s="44">
        <v>90069.64</v>
      </c>
      <c r="N221" s="43"/>
      <c r="O221" s="42" t="s">
        <v>16</v>
      </c>
    </row>
    <row r="222" spans="1:15" ht="15.75" customHeight="1" x14ac:dyDescent="0.3">
      <c r="A222" s="40" t="s">
        <v>718</v>
      </c>
      <c r="B222" s="40" t="s">
        <v>319</v>
      </c>
      <c r="C222" s="40">
        <v>63</v>
      </c>
      <c r="D222" s="40" t="s">
        <v>115</v>
      </c>
      <c r="E222" s="41">
        <v>25.7</v>
      </c>
      <c r="F222" s="40" t="s">
        <v>116</v>
      </c>
      <c r="G222" s="40">
        <v>0</v>
      </c>
      <c r="H222" s="40" t="s">
        <v>65</v>
      </c>
      <c r="I222" s="40" t="s">
        <v>31</v>
      </c>
      <c r="J222" s="40" t="s">
        <v>48</v>
      </c>
      <c r="K222" s="40" t="s">
        <v>719</v>
      </c>
      <c r="L222" s="41">
        <v>3250.86</v>
      </c>
      <c r="M222" s="41">
        <v>2765.54</v>
      </c>
      <c r="N222" s="40" t="s">
        <v>75</v>
      </c>
      <c r="O222" s="42" t="s">
        <v>16</v>
      </c>
    </row>
    <row r="223" spans="1:15" ht="15.75" customHeight="1" x14ac:dyDescent="0.3">
      <c r="A223" s="43" t="s">
        <v>720</v>
      </c>
      <c r="B223" s="43" t="s">
        <v>721</v>
      </c>
      <c r="C223" s="43">
        <v>44</v>
      </c>
      <c r="D223" s="43" t="s">
        <v>120</v>
      </c>
      <c r="E223" s="44">
        <v>26.6</v>
      </c>
      <c r="F223" s="43" t="s">
        <v>128</v>
      </c>
      <c r="G223" s="43">
        <v>3</v>
      </c>
      <c r="H223" s="43" t="s">
        <v>65</v>
      </c>
      <c r="I223" s="43" t="s">
        <v>32</v>
      </c>
      <c r="J223" s="43" t="s">
        <v>44</v>
      </c>
      <c r="K223" s="43" t="s">
        <v>722</v>
      </c>
      <c r="L223" s="44">
        <v>3459.71</v>
      </c>
      <c r="M223" s="44">
        <v>1887.85</v>
      </c>
      <c r="N223" s="43"/>
      <c r="O223" s="42" t="s">
        <v>16</v>
      </c>
    </row>
    <row r="224" spans="1:15" ht="15.75" customHeight="1" x14ac:dyDescent="0.3">
      <c r="A224" s="40" t="s">
        <v>723</v>
      </c>
      <c r="B224" s="40" t="s">
        <v>724</v>
      </c>
      <c r="C224" s="40">
        <v>51</v>
      </c>
      <c r="D224" s="40" t="s">
        <v>124</v>
      </c>
      <c r="E224" s="41">
        <v>30.6</v>
      </c>
      <c r="F224" s="40" t="s">
        <v>116</v>
      </c>
      <c r="G224" s="40">
        <v>1</v>
      </c>
      <c r="H224" s="40" t="s">
        <v>63</v>
      </c>
      <c r="I224" s="40" t="s">
        <v>29</v>
      </c>
      <c r="J224" s="40" t="s">
        <v>40</v>
      </c>
      <c r="K224" s="40" t="s">
        <v>725</v>
      </c>
      <c r="L224" s="41">
        <v>119254.89</v>
      </c>
      <c r="M224" s="41">
        <v>107162.47</v>
      </c>
      <c r="N224" s="40" t="s">
        <v>75</v>
      </c>
      <c r="O224" s="42" t="s">
        <v>16</v>
      </c>
    </row>
    <row r="225" spans="1:15" ht="15.75" customHeight="1" x14ac:dyDescent="0.3">
      <c r="A225" s="43" t="s">
        <v>726</v>
      </c>
      <c r="B225" s="43" t="s">
        <v>727</v>
      </c>
      <c r="C225" s="43">
        <v>39</v>
      </c>
      <c r="D225" s="43" t="s">
        <v>115</v>
      </c>
      <c r="E225" s="44">
        <v>32.299999999999997</v>
      </c>
      <c r="F225" s="43" t="s">
        <v>116</v>
      </c>
      <c r="G225" s="43">
        <v>2</v>
      </c>
      <c r="H225" s="43" t="s">
        <v>57</v>
      </c>
      <c r="I225" s="43" t="s">
        <v>30</v>
      </c>
      <c r="J225" s="43" t="s">
        <v>42</v>
      </c>
      <c r="K225" s="43" t="s">
        <v>728</v>
      </c>
      <c r="L225" s="44">
        <v>15366.88</v>
      </c>
      <c r="M225" s="44">
        <v>9490.36</v>
      </c>
      <c r="N225" s="43" t="s">
        <v>74</v>
      </c>
      <c r="O225" s="42" t="s">
        <v>16</v>
      </c>
    </row>
    <row r="226" spans="1:15" ht="15.75" customHeight="1" x14ac:dyDescent="0.3">
      <c r="A226" s="40" t="s">
        <v>729</v>
      </c>
      <c r="B226" s="40" t="s">
        <v>730</v>
      </c>
      <c r="C226" s="40">
        <v>27</v>
      </c>
      <c r="D226" s="40" t="s">
        <v>124</v>
      </c>
      <c r="E226" s="41">
        <v>18.5</v>
      </c>
      <c r="F226" s="40" t="s">
        <v>116</v>
      </c>
      <c r="G226" s="40">
        <v>2</v>
      </c>
      <c r="H226" s="40" t="s">
        <v>65</v>
      </c>
      <c r="I226" s="40" t="s">
        <v>32</v>
      </c>
      <c r="J226" s="40" t="s">
        <v>40</v>
      </c>
      <c r="K226" s="40" t="s">
        <v>731</v>
      </c>
      <c r="L226" s="41">
        <v>31280.81</v>
      </c>
      <c r="M226" s="41">
        <v>18516.22</v>
      </c>
      <c r="N226" s="40" t="s">
        <v>74</v>
      </c>
      <c r="O226" s="42" t="s">
        <v>16</v>
      </c>
    </row>
    <row r="227" spans="1:15" ht="15.75" customHeight="1" x14ac:dyDescent="0.3">
      <c r="A227" s="43" t="s">
        <v>732</v>
      </c>
      <c r="B227" s="43" t="s">
        <v>733</v>
      </c>
      <c r="C227" s="43">
        <v>56</v>
      </c>
      <c r="D227" s="43" t="s">
        <v>120</v>
      </c>
      <c r="E227" s="44">
        <v>44.7</v>
      </c>
      <c r="F227" s="43" t="s">
        <v>128</v>
      </c>
      <c r="G227" s="43">
        <v>1</v>
      </c>
      <c r="H227" s="43" t="s">
        <v>65</v>
      </c>
      <c r="I227" s="43" t="s">
        <v>29</v>
      </c>
      <c r="J227" s="43" t="s">
        <v>40</v>
      </c>
      <c r="K227" s="43" t="s">
        <v>734</v>
      </c>
      <c r="L227" s="44">
        <v>34038.32</v>
      </c>
      <c r="M227" s="44">
        <v>17282.14</v>
      </c>
      <c r="N227" s="43"/>
      <c r="O227" s="42" t="s">
        <v>16</v>
      </c>
    </row>
    <row r="228" spans="1:15" ht="15.75" customHeight="1" x14ac:dyDescent="0.3">
      <c r="A228" s="40" t="s">
        <v>735</v>
      </c>
      <c r="B228" s="40" t="s">
        <v>736</v>
      </c>
      <c r="C228" s="40">
        <v>22</v>
      </c>
      <c r="D228" s="40" t="s">
        <v>124</v>
      </c>
      <c r="E228" s="41">
        <v>21.5</v>
      </c>
      <c r="F228" s="40" t="s">
        <v>128</v>
      </c>
      <c r="G228" s="40">
        <v>0</v>
      </c>
      <c r="H228" s="40" t="s">
        <v>61</v>
      </c>
      <c r="I228" s="40" t="s">
        <v>32</v>
      </c>
      <c r="J228" s="40" t="s">
        <v>40</v>
      </c>
      <c r="K228" s="40" t="s">
        <v>737</v>
      </c>
      <c r="L228" s="41">
        <v>49645.120000000003</v>
      </c>
      <c r="M228" s="41">
        <v>31647.31</v>
      </c>
      <c r="N228" s="40" t="s">
        <v>73</v>
      </c>
      <c r="O228" s="42" t="s">
        <v>16</v>
      </c>
    </row>
    <row r="229" spans="1:15" ht="15.75" customHeight="1" x14ac:dyDescent="0.3">
      <c r="A229" s="43" t="s">
        <v>738</v>
      </c>
      <c r="B229" s="43" t="s">
        <v>739</v>
      </c>
      <c r="C229" s="43">
        <v>31</v>
      </c>
      <c r="D229" s="43" t="s">
        <v>124</v>
      </c>
      <c r="E229" s="44">
        <v>26</v>
      </c>
      <c r="F229" s="43" t="s">
        <v>128</v>
      </c>
      <c r="G229" s="43">
        <v>3</v>
      </c>
      <c r="H229" s="43" t="s">
        <v>59</v>
      </c>
      <c r="I229" s="43" t="s">
        <v>30</v>
      </c>
      <c r="J229" s="43" t="s">
        <v>40</v>
      </c>
      <c r="K229" s="43" t="s">
        <v>740</v>
      </c>
      <c r="L229" s="44">
        <v>89261.23</v>
      </c>
      <c r="M229" s="44">
        <v>60363.45</v>
      </c>
      <c r="N229" s="43" t="s">
        <v>75</v>
      </c>
      <c r="O229" s="45" t="s">
        <v>18</v>
      </c>
    </row>
    <row r="230" spans="1:15" ht="15.75" customHeight="1" x14ac:dyDescent="0.3">
      <c r="A230" s="40" t="s">
        <v>741</v>
      </c>
      <c r="B230" s="40" t="s">
        <v>742</v>
      </c>
      <c r="C230" s="40">
        <v>18</v>
      </c>
      <c r="D230" s="40" t="s">
        <v>120</v>
      </c>
      <c r="E230" s="41">
        <v>29.3</v>
      </c>
      <c r="F230" s="40" t="s">
        <v>116</v>
      </c>
      <c r="G230" s="40">
        <v>2</v>
      </c>
      <c r="H230" s="40" t="s">
        <v>59</v>
      </c>
      <c r="I230" s="40" t="s">
        <v>31</v>
      </c>
      <c r="J230" s="40" t="s">
        <v>40</v>
      </c>
      <c r="K230" s="40" t="s">
        <v>129</v>
      </c>
      <c r="L230" s="41"/>
      <c r="M230" s="41">
        <v>78208.37</v>
      </c>
      <c r="N230" s="40"/>
      <c r="O230" s="42" t="s">
        <v>16</v>
      </c>
    </row>
    <row r="231" spans="1:15" ht="15.75" customHeight="1" x14ac:dyDescent="0.3">
      <c r="A231" s="43" t="s">
        <v>743</v>
      </c>
      <c r="B231" s="43" t="s">
        <v>744</v>
      </c>
      <c r="C231" s="43">
        <v>59</v>
      </c>
      <c r="D231" s="43" t="s">
        <v>120</v>
      </c>
      <c r="E231" s="44">
        <v>20.6</v>
      </c>
      <c r="F231" s="43" t="s">
        <v>116</v>
      </c>
      <c r="G231" s="43">
        <v>3</v>
      </c>
      <c r="H231" s="43" t="s">
        <v>57</v>
      </c>
      <c r="I231" s="43" t="s">
        <v>30</v>
      </c>
      <c r="J231" s="43" t="s">
        <v>46</v>
      </c>
      <c r="K231" s="43" t="s">
        <v>745</v>
      </c>
      <c r="L231" s="44">
        <v>65588.289999999994</v>
      </c>
      <c r="M231" s="44">
        <v>49496.92</v>
      </c>
      <c r="N231" s="43"/>
      <c r="O231" s="42" t="s">
        <v>16</v>
      </c>
    </row>
    <row r="232" spans="1:15" ht="15.75" customHeight="1" x14ac:dyDescent="0.3">
      <c r="A232" s="40" t="s">
        <v>746</v>
      </c>
      <c r="B232" s="40" t="s">
        <v>747</v>
      </c>
      <c r="C232" s="40">
        <v>55</v>
      </c>
      <c r="D232" s="40" t="s">
        <v>124</v>
      </c>
      <c r="E232" s="41">
        <v>43.1</v>
      </c>
      <c r="F232" s="40" t="s">
        <v>116</v>
      </c>
      <c r="G232" s="40">
        <v>3</v>
      </c>
      <c r="H232" s="40" t="s">
        <v>59</v>
      </c>
      <c r="I232" s="40" t="s">
        <v>30</v>
      </c>
      <c r="J232" s="40" t="s">
        <v>44</v>
      </c>
      <c r="K232" s="40" t="s">
        <v>748</v>
      </c>
      <c r="L232" s="41">
        <v>69035.41</v>
      </c>
      <c r="M232" s="41">
        <v>51563.15</v>
      </c>
      <c r="N232" s="40"/>
      <c r="O232" s="46" t="s">
        <v>17</v>
      </c>
    </row>
    <row r="233" spans="1:15" ht="15.75" customHeight="1" x14ac:dyDescent="0.3">
      <c r="A233" s="43" t="s">
        <v>749</v>
      </c>
      <c r="B233" s="43" t="s">
        <v>750</v>
      </c>
      <c r="C233" s="43">
        <v>43</v>
      </c>
      <c r="D233" s="43" t="s">
        <v>120</v>
      </c>
      <c r="E233" s="44">
        <v>32.9</v>
      </c>
      <c r="F233" s="43" t="s">
        <v>128</v>
      </c>
      <c r="G233" s="43">
        <v>2</v>
      </c>
      <c r="H233" s="43" t="s">
        <v>57</v>
      </c>
      <c r="I233" s="43" t="s">
        <v>31</v>
      </c>
      <c r="J233" s="43" t="s">
        <v>44</v>
      </c>
      <c r="K233" s="43" t="s">
        <v>751</v>
      </c>
      <c r="L233" s="44">
        <v>47996</v>
      </c>
      <c r="M233" s="44">
        <v>33236.94</v>
      </c>
      <c r="N233" s="43"/>
      <c r="O233" s="45" t="s">
        <v>18</v>
      </c>
    </row>
    <row r="234" spans="1:15" ht="15.75" customHeight="1" x14ac:dyDescent="0.3">
      <c r="A234" s="40" t="s">
        <v>752</v>
      </c>
      <c r="B234" s="40" t="s">
        <v>753</v>
      </c>
      <c r="C234" s="40">
        <v>44</v>
      </c>
      <c r="D234" s="40" t="s">
        <v>124</v>
      </c>
      <c r="E234" s="41"/>
      <c r="F234" s="40" t="s">
        <v>116</v>
      </c>
      <c r="G234" s="40">
        <v>3</v>
      </c>
      <c r="H234" s="40" t="s">
        <v>63</v>
      </c>
      <c r="I234" s="40" t="s">
        <v>28</v>
      </c>
      <c r="J234" s="40" t="s">
        <v>42</v>
      </c>
      <c r="K234" s="40" t="s">
        <v>754</v>
      </c>
      <c r="L234" s="41">
        <v>71915</v>
      </c>
      <c r="M234" s="41">
        <v>58050.6</v>
      </c>
      <c r="N234" s="40"/>
      <c r="O234" s="42" t="s">
        <v>16</v>
      </c>
    </row>
    <row r="235" spans="1:15" ht="15.75" customHeight="1" x14ac:dyDescent="0.3">
      <c r="A235" s="43" t="s">
        <v>755</v>
      </c>
      <c r="B235" s="43" t="s">
        <v>756</v>
      </c>
      <c r="C235" s="43">
        <v>82</v>
      </c>
      <c r="D235" s="43" t="s">
        <v>120</v>
      </c>
      <c r="E235" s="44">
        <v>28.2</v>
      </c>
      <c r="F235" s="43" t="s">
        <v>128</v>
      </c>
      <c r="G235" s="43">
        <v>4</v>
      </c>
      <c r="H235" s="43" t="s">
        <v>59</v>
      </c>
      <c r="I235" s="43" t="s">
        <v>29</v>
      </c>
      <c r="J235" s="43" t="s">
        <v>42</v>
      </c>
      <c r="K235" s="43" t="s">
        <v>757</v>
      </c>
      <c r="L235" s="44">
        <v>5440.34</v>
      </c>
      <c r="M235" s="44">
        <v>5018.49</v>
      </c>
      <c r="N235" s="43"/>
      <c r="O235" s="42" t="s">
        <v>16</v>
      </c>
    </row>
    <row r="236" spans="1:15" ht="15.75" customHeight="1" x14ac:dyDescent="0.3">
      <c r="A236" s="40" t="s">
        <v>758</v>
      </c>
      <c r="B236" s="40" t="s">
        <v>759</v>
      </c>
      <c r="C236" s="40">
        <v>24</v>
      </c>
      <c r="D236" s="40" t="s">
        <v>115</v>
      </c>
      <c r="E236" s="41">
        <v>43.3</v>
      </c>
      <c r="F236" s="40" t="s">
        <v>116</v>
      </c>
      <c r="G236" s="40">
        <v>2</v>
      </c>
      <c r="H236" s="40" t="s">
        <v>59</v>
      </c>
      <c r="I236" s="40" t="s">
        <v>31</v>
      </c>
      <c r="J236" s="40" t="s">
        <v>50</v>
      </c>
      <c r="K236" s="40" t="s">
        <v>760</v>
      </c>
      <c r="L236" s="41">
        <v>64723.17</v>
      </c>
      <c r="M236" s="41">
        <v>34207.82</v>
      </c>
      <c r="N236" s="40"/>
      <c r="O236" s="42" t="s">
        <v>16</v>
      </c>
    </row>
    <row r="237" spans="1:15" ht="15.75" customHeight="1" x14ac:dyDescent="0.3">
      <c r="A237" s="43" t="s">
        <v>761</v>
      </c>
      <c r="B237" s="43" t="s">
        <v>762</v>
      </c>
      <c r="C237" s="43">
        <v>71</v>
      </c>
      <c r="D237" s="43" t="s">
        <v>120</v>
      </c>
      <c r="E237" s="44">
        <v>30.8</v>
      </c>
      <c r="F237" s="43" t="s">
        <v>116</v>
      </c>
      <c r="G237" s="43">
        <v>1</v>
      </c>
      <c r="H237" s="43" t="s">
        <v>63</v>
      </c>
      <c r="I237" s="43" t="s">
        <v>32</v>
      </c>
      <c r="J237" s="43" t="s">
        <v>50</v>
      </c>
      <c r="K237" s="43" t="s">
        <v>663</v>
      </c>
      <c r="L237" s="44">
        <v>111397.57</v>
      </c>
      <c r="M237" s="44">
        <v>82783.08</v>
      </c>
      <c r="N237" s="43" t="s">
        <v>74</v>
      </c>
      <c r="O237" s="45" t="s">
        <v>18</v>
      </c>
    </row>
    <row r="238" spans="1:15" ht="15.75" customHeight="1" x14ac:dyDescent="0.3">
      <c r="A238" s="40" t="s">
        <v>763</v>
      </c>
      <c r="B238" s="40" t="s">
        <v>764</v>
      </c>
      <c r="C238" s="40">
        <v>67</v>
      </c>
      <c r="D238" s="40" t="s">
        <v>120</v>
      </c>
      <c r="E238" s="41">
        <v>49</v>
      </c>
      <c r="F238" s="40" t="s">
        <v>116</v>
      </c>
      <c r="G238" s="40">
        <v>4</v>
      </c>
      <c r="H238" s="40" t="s">
        <v>57</v>
      </c>
      <c r="I238" s="40" t="s">
        <v>32</v>
      </c>
      <c r="J238" s="40" t="s">
        <v>47</v>
      </c>
      <c r="K238" s="40" t="s">
        <v>657</v>
      </c>
      <c r="L238" s="41">
        <v>93475.03</v>
      </c>
      <c r="M238" s="41">
        <v>47682.84</v>
      </c>
      <c r="N238" s="40"/>
      <c r="O238" s="42" t="s">
        <v>16</v>
      </c>
    </row>
    <row r="239" spans="1:15" ht="15.75" customHeight="1" x14ac:dyDescent="0.3">
      <c r="A239" s="43" t="s">
        <v>765</v>
      </c>
      <c r="B239" s="43" t="s">
        <v>766</v>
      </c>
      <c r="C239" s="43">
        <v>28</v>
      </c>
      <c r="D239" s="43" t="s">
        <v>115</v>
      </c>
      <c r="E239" s="44">
        <v>46.4</v>
      </c>
      <c r="F239" s="43" t="s">
        <v>116</v>
      </c>
      <c r="G239" s="43">
        <v>2</v>
      </c>
      <c r="H239" s="43" t="s">
        <v>59</v>
      </c>
      <c r="I239" s="43" t="s">
        <v>30</v>
      </c>
      <c r="J239" s="43" t="s">
        <v>49</v>
      </c>
      <c r="K239" s="43" t="s">
        <v>767</v>
      </c>
      <c r="L239" s="44">
        <v>46714.61</v>
      </c>
      <c r="M239" s="44">
        <v>34808.239999999998</v>
      </c>
      <c r="N239" s="43"/>
      <c r="O239" s="46" t="s">
        <v>17</v>
      </c>
    </row>
    <row r="240" spans="1:15" ht="15.75" customHeight="1" x14ac:dyDescent="0.3">
      <c r="A240" s="40" t="s">
        <v>768</v>
      </c>
      <c r="B240" s="40" t="s">
        <v>490</v>
      </c>
      <c r="C240" s="40">
        <v>59</v>
      </c>
      <c r="D240" s="40" t="s">
        <v>120</v>
      </c>
      <c r="E240" s="41">
        <v>33.9</v>
      </c>
      <c r="F240" s="40" t="s">
        <v>116</v>
      </c>
      <c r="G240" s="40">
        <v>0</v>
      </c>
      <c r="H240" s="40" t="s">
        <v>63</v>
      </c>
      <c r="I240" s="40" t="s">
        <v>30</v>
      </c>
      <c r="J240" s="40" t="s">
        <v>49</v>
      </c>
      <c r="K240" s="40" t="s">
        <v>769</v>
      </c>
      <c r="L240" s="41">
        <v>94682.8</v>
      </c>
      <c r="M240" s="41">
        <v>49798.05</v>
      </c>
      <c r="N240" s="40"/>
      <c r="O240" s="42" t="s">
        <v>16</v>
      </c>
    </row>
    <row r="241" spans="1:15" ht="15.75" customHeight="1" x14ac:dyDescent="0.3">
      <c r="A241" s="43" t="s">
        <v>770</v>
      </c>
      <c r="B241" s="43" t="s">
        <v>360</v>
      </c>
      <c r="C241" s="43">
        <v>77</v>
      </c>
      <c r="D241" s="43" t="s">
        <v>120</v>
      </c>
      <c r="E241" s="44">
        <v>43.4</v>
      </c>
      <c r="F241" s="43" t="s">
        <v>128</v>
      </c>
      <c r="G241" s="43">
        <v>1</v>
      </c>
      <c r="H241" s="43" t="s">
        <v>61</v>
      </c>
      <c r="I241" s="43" t="s">
        <v>32</v>
      </c>
      <c r="J241" s="43" t="s">
        <v>48</v>
      </c>
      <c r="K241" s="43" t="s">
        <v>771</v>
      </c>
      <c r="L241" s="44">
        <v>29809.66</v>
      </c>
      <c r="M241" s="44">
        <v>18769.43</v>
      </c>
      <c r="N241" s="43" t="s">
        <v>73</v>
      </c>
      <c r="O241" s="42" t="s">
        <v>16</v>
      </c>
    </row>
    <row r="242" spans="1:15" ht="15.75" customHeight="1" x14ac:dyDescent="0.3">
      <c r="A242" s="40" t="s">
        <v>772</v>
      </c>
      <c r="B242" s="40" t="s">
        <v>532</v>
      </c>
      <c r="C242" s="40">
        <v>48</v>
      </c>
      <c r="D242" s="40" t="s">
        <v>124</v>
      </c>
      <c r="E242" s="41">
        <v>16.5</v>
      </c>
      <c r="F242" s="40" t="s">
        <v>116</v>
      </c>
      <c r="G242" s="40">
        <v>4</v>
      </c>
      <c r="H242" s="40" t="s">
        <v>57</v>
      </c>
      <c r="I242" s="40" t="s">
        <v>29</v>
      </c>
      <c r="J242" s="40" t="s">
        <v>40</v>
      </c>
      <c r="K242" s="40" t="s">
        <v>773</v>
      </c>
      <c r="L242" s="41"/>
      <c r="M242" s="41">
        <v>55689.32</v>
      </c>
      <c r="N242" s="40" t="s">
        <v>75</v>
      </c>
      <c r="O242" s="45" t="s">
        <v>18</v>
      </c>
    </row>
    <row r="243" spans="1:15" ht="15.75" customHeight="1" x14ac:dyDescent="0.3">
      <c r="A243" s="43" t="s">
        <v>774</v>
      </c>
      <c r="B243" s="43" t="s">
        <v>775</v>
      </c>
      <c r="C243" s="43">
        <v>73</v>
      </c>
      <c r="D243" s="43" t="s">
        <v>115</v>
      </c>
      <c r="E243" s="44">
        <v>43.5</v>
      </c>
      <c r="F243" s="43" t="s">
        <v>128</v>
      </c>
      <c r="G243" s="43">
        <v>4</v>
      </c>
      <c r="H243" s="43" t="s">
        <v>65</v>
      </c>
      <c r="I243" s="43" t="s">
        <v>28</v>
      </c>
      <c r="J243" s="43" t="s">
        <v>42</v>
      </c>
      <c r="K243" s="43" t="s">
        <v>776</v>
      </c>
      <c r="L243" s="44"/>
      <c r="M243" s="44">
        <v>21551.51</v>
      </c>
      <c r="N243" s="43" t="s">
        <v>75</v>
      </c>
      <c r="O243" s="42" t="s">
        <v>16</v>
      </c>
    </row>
    <row r="244" spans="1:15" ht="15.75" customHeight="1" x14ac:dyDescent="0.3">
      <c r="A244" s="40" t="s">
        <v>777</v>
      </c>
      <c r="B244" s="40" t="s">
        <v>188</v>
      </c>
      <c r="C244" s="40">
        <v>81</v>
      </c>
      <c r="D244" s="40" t="s">
        <v>120</v>
      </c>
      <c r="E244" s="41">
        <v>17.600000000000001</v>
      </c>
      <c r="F244" s="40" t="s">
        <v>116</v>
      </c>
      <c r="G244" s="40">
        <v>1</v>
      </c>
      <c r="H244" s="40" t="s">
        <v>63</v>
      </c>
      <c r="I244" s="40" t="s">
        <v>32</v>
      </c>
      <c r="J244" s="40" t="s">
        <v>46</v>
      </c>
      <c r="K244" s="40" t="s">
        <v>778</v>
      </c>
      <c r="L244" s="41">
        <v>88466.14</v>
      </c>
      <c r="M244" s="41">
        <v>88048.7</v>
      </c>
      <c r="N244" s="40" t="s">
        <v>74</v>
      </c>
      <c r="O244" s="42" t="s">
        <v>16</v>
      </c>
    </row>
    <row r="245" spans="1:15" ht="15.75" customHeight="1" x14ac:dyDescent="0.3">
      <c r="A245" s="43" t="s">
        <v>779</v>
      </c>
      <c r="B245" s="43" t="s">
        <v>780</v>
      </c>
      <c r="C245" s="43">
        <v>19</v>
      </c>
      <c r="D245" s="43" t="s">
        <v>115</v>
      </c>
      <c r="E245" s="44">
        <v>26.6</v>
      </c>
      <c r="F245" s="43" t="s">
        <v>128</v>
      </c>
      <c r="G245" s="43">
        <v>1</v>
      </c>
      <c r="H245" s="43" t="s">
        <v>63</v>
      </c>
      <c r="I245" s="43" t="s">
        <v>30</v>
      </c>
      <c r="J245" s="43" t="s">
        <v>50</v>
      </c>
      <c r="K245" s="43" t="s">
        <v>781</v>
      </c>
      <c r="L245" s="44">
        <v>28898.13</v>
      </c>
      <c r="M245" s="44">
        <v>25201.279999999999</v>
      </c>
      <c r="N245" s="43"/>
      <c r="O245" s="42" t="s">
        <v>16</v>
      </c>
    </row>
    <row r="246" spans="1:15" ht="15.75" customHeight="1" x14ac:dyDescent="0.3">
      <c r="A246" s="40" t="s">
        <v>782</v>
      </c>
      <c r="B246" s="40" t="s">
        <v>783</v>
      </c>
      <c r="C246" s="40">
        <v>46</v>
      </c>
      <c r="D246" s="40" t="s">
        <v>124</v>
      </c>
      <c r="E246" s="41">
        <v>28.5</v>
      </c>
      <c r="F246" s="40" t="s">
        <v>116</v>
      </c>
      <c r="G246" s="40">
        <v>2</v>
      </c>
      <c r="H246" s="40" t="s">
        <v>61</v>
      </c>
      <c r="I246" s="40" t="s">
        <v>31</v>
      </c>
      <c r="J246" s="40" t="s">
        <v>46</v>
      </c>
      <c r="K246" s="40" t="s">
        <v>446</v>
      </c>
      <c r="L246" s="41">
        <v>41233.53</v>
      </c>
      <c r="M246" s="41">
        <v>38203.919999999998</v>
      </c>
      <c r="N246" s="40" t="s">
        <v>74</v>
      </c>
      <c r="O246" s="42" t="s">
        <v>16</v>
      </c>
    </row>
    <row r="247" spans="1:15" ht="15.75" customHeight="1" x14ac:dyDescent="0.3">
      <c r="A247" s="43" t="s">
        <v>784</v>
      </c>
      <c r="B247" s="43" t="s">
        <v>785</v>
      </c>
      <c r="C247" s="43">
        <v>73</v>
      </c>
      <c r="D247" s="43" t="s">
        <v>120</v>
      </c>
      <c r="E247" s="44">
        <v>16.399999999999999</v>
      </c>
      <c r="F247" s="43" t="s">
        <v>128</v>
      </c>
      <c r="G247" s="43">
        <v>1</v>
      </c>
      <c r="H247" s="43" t="s">
        <v>61</v>
      </c>
      <c r="I247" s="43" t="s">
        <v>31</v>
      </c>
      <c r="J247" s="43" t="s">
        <v>49</v>
      </c>
      <c r="K247" s="43" t="s">
        <v>786</v>
      </c>
      <c r="L247" s="44">
        <v>34437.58</v>
      </c>
      <c r="M247" s="44">
        <v>32934.43</v>
      </c>
      <c r="N247" s="43"/>
      <c r="O247" s="46" t="s">
        <v>17</v>
      </c>
    </row>
    <row r="248" spans="1:15" ht="15.75" customHeight="1" x14ac:dyDescent="0.3">
      <c r="A248" s="40" t="s">
        <v>787</v>
      </c>
      <c r="B248" s="40" t="s">
        <v>490</v>
      </c>
      <c r="C248" s="40">
        <v>51</v>
      </c>
      <c r="D248" s="40" t="s">
        <v>124</v>
      </c>
      <c r="E248" s="41">
        <v>29.4</v>
      </c>
      <c r="F248" s="40" t="s">
        <v>116</v>
      </c>
      <c r="G248" s="40">
        <v>0</v>
      </c>
      <c r="H248" s="40" t="s">
        <v>63</v>
      </c>
      <c r="I248" s="40" t="s">
        <v>31</v>
      </c>
      <c r="J248" s="40" t="s">
        <v>42</v>
      </c>
      <c r="K248" s="40" t="s">
        <v>788</v>
      </c>
      <c r="L248" s="41">
        <v>104618.68</v>
      </c>
      <c r="M248" s="41">
        <v>67528.100000000006</v>
      </c>
      <c r="N248" s="40" t="s">
        <v>73</v>
      </c>
      <c r="O248" s="46" t="s">
        <v>17</v>
      </c>
    </row>
    <row r="249" spans="1:15" ht="15.75" customHeight="1" x14ac:dyDescent="0.3">
      <c r="A249" s="43" t="s">
        <v>789</v>
      </c>
      <c r="B249" s="43" t="s">
        <v>790</v>
      </c>
      <c r="C249" s="43">
        <v>43</v>
      </c>
      <c r="D249" s="43" t="s">
        <v>115</v>
      </c>
      <c r="E249" s="44">
        <v>31.3</v>
      </c>
      <c r="F249" s="43" t="s">
        <v>128</v>
      </c>
      <c r="G249" s="43">
        <v>1</v>
      </c>
      <c r="H249" s="43" t="s">
        <v>65</v>
      </c>
      <c r="I249" s="43" t="s">
        <v>32</v>
      </c>
      <c r="J249" s="43" t="s">
        <v>42</v>
      </c>
      <c r="K249" s="43" t="s">
        <v>791</v>
      </c>
      <c r="L249" s="44">
        <v>97886.02</v>
      </c>
      <c r="M249" s="44">
        <v>52428.95</v>
      </c>
      <c r="N249" s="43"/>
      <c r="O249" s="42" t="s">
        <v>16</v>
      </c>
    </row>
    <row r="250" spans="1:15" ht="15.75" customHeight="1" x14ac:dyDescent="0.3">
      <c r="A250" s="40" t="s">
        <v>792</v>
      </c>
      <c r="B250" s="40" t="s">
        <v>793</v>
      </c>
      <c r="C250" s="40">
        <v>77</v>
      </c>
      <c r="D250" s="40" t="s">
        <v>120</v>
      </c>
      <c r="E250" s="41">
        <v>41.7</v>
      </c>
      <c r="F250" s="40" t="s">
        <v>128</v>
      </c>
      <c r="G250" s="40">
        <v>1</v>
      </c>
      <c r="H250" s="40" t="s">
        <v>59</v>
      </c>
      <c r="I250" s="40" t="s">
        <v>29</v>
      </c>
      <c r="J250" s="40" t="s">
        <v>42</v>
      </c>
      <c r="K250" s="40" t="s">
        <v>794</v>
      </c>
      <c r="L250" s="41">
        <v>85815.56</v>
      </c>
      <c r="M250" s="41">
        <v>53309.64</v>
      </c>
      <c r="N250" s="40"/>
      <c r="O250" s="42" t="s">
        <v>16</v>
      </c>
    </row>
    <row r="251" spans="1:15" ht="15.75" customHeight="1" x14ac:dyDescent="0.3">
      <c r="A251" s="43" t="s">
        <v>795</v>
      </c>
      <c r="B251" s="43" t="s">
        <v>248</v>
      </c>
      <c r="C251" s="43">
        <v>84</v>
      </c>
      <c r="D251" s="43" t="s">
        <v>124</v>
      </c>
      <c r="E251" s="44">
        <v>22.6</v>
      </c>
      <c r="F251" s="43" t="s">
        <v>116</v>
      </c>
      <c r="G251" s="43">
        <v>3</v>
      </c>
      <c r="H251" s="43" t="s">
        <v>57</v>
      </c>
      <c r="I251" s="43" t="s">
        <v>28</v>
      </c>
      <c r="J251" s="43" t="s">
        <v>44</v>
      </c>
      <c r="K251" s="43" t="s">
        <v>796</v>
      </c>
      <c r="L251" s="44">
        <v>27062.13</v>
      </c>
      <c r="M251" s="44">
        <v>26328.44</v>
      </c>
      <c r="N251" s="43"/>
      <c r="O251" s="42" t="s">
        <v>16</v>
      </c>
    </row>
    <row r="252" spans="1:15" ht="15.75" customHeight="1" x14ac:dyDescent="0.3">
      <c r="A252" s="40" t="s">
        <v>797</v>
      </c>
      <c r="B252" s="40" t="s">
        <v>798</v>
      </c>
      <c r="C252" s="40">
        <v>79</v>
      </c>
      <c r="D252" s="40" t="s">
        <v>120</v>
      </c>
      <c r="E252" s="41">
        <v>20.7</v>
      </c>
      <c r="F252" s="40" t="s">
        <v>116</v>
      </c>
      <c r="G252" s="40">
        <v>2</v>
      </c>
      <c r="H252" s="40" t="s">
        <v>63</v>
      </c>
      <c r="I252" s="40" t="s">
        <v>29</v>
      </c>
      <c r="J252" s="40" t="s">
        <v>44</v>
      </c>
      <c r="K252" s="40" t="s">
        <v>799</v>
      </c>
      <c r="L252" s="41">
        <v>63323.58</v>
      </c>
      <c r="M252" s="41">
        <v>54811.93</v>
      </c>
      <c r="N252" s="40" t="s">
        <v>73</v>
      </c>
      <c r="O252" s="46" t="s">
        <v>17</v>
      </c>
    </row>
    <row r="253" spans="1:15" ht="15.75" customHeight="1" x14ac:dyDescent="0.3">
      <c r="A253" s="43" t="s">
        <v>800</v>
      </c>
      <c r="B253" s="43" t="s">
        <v>753</v>
      </c>
      <c r="C253" s="43">
        <v>63</v>
      </c>
      <c r="D253" s="43" t="s">
        <v>115</v>
      </c>
      <c r="E253" s="44">
        <v>42.2</v>
      </c>
      <c r="F253" s="43" t="s">
        <v>116</v>
      </c>
      <c r="G253" s="43">
        <v>0</v>
      </c>
      <c r="H253" s="43" t="s">
        <v>59</v>
      </c>
      <c r="I253" s="43" t="s">
        <v>30</v>
      </c>
      <c r="J253" s="43" t="s">
        <v>42</v>
      </c>
      <c r="K253" s="43" t="s">
        <v>801</v>
      </c>
      <c r="L253" s="44">
        <v>96850.33</v>
      </c>
      <c r="M253" s="44">
        <v>77591.42</v>
      </c>
      <c r="N253" s="43"/>
      <c r="O253" s="42" t="s">
        <v>16</v>
      </c>
    </row>
    <row r="254" spans="1:15" ht="15.75" customHeight="1" x14ac:dyDescent="0.3">
      <c r="A254" s="40" t="s">
        <v>802</v>
      </c>
      <c r="B254" s="40" t="s">
        <v>355</v>
      </c>
      <c r="C254" s="40">
        <v>57</v>
      </c>
      <c r="D254" s="40" t="s">
        <v>124</v>
      </c>
      <c r="E254" s="41">
        <v>17.399999999999999</v>
      </c>
      <c r="F254" s="40" t="s">
        <v>128</v>
      </c>
      <c r="G254" s="40">
        <v>1</v>
      </c>
      <c r="H254" s="40" t="s">
        <v>65</v>
      </c>
      <c r="I254" s="40" t="s">
        <v>32</v>
      </c>
      <c r="J254" s="40" t="s">
        <v>46</v>
      </c>
      <c r="K254" s="40" t="s">
        <v>803</v>
      </c>
      <c r="L254" s="41">
        <v>70203.34</v>
      </c>
      <c r="M254" s="41">
        <v>69314.039999999994</v>
      </c>
      <c r="N254" s="40"/>
      <c r="O254" s="45" t="s">
        <v>18</v>
      </c>
    </row>
    <row r="255" spans="1:15" ht="15.75" customHeight="1" x14ac:dyDescent="0.3">
      <c r="A255" s="43" t="s">
        <v>804</v>
      </c>
      <c r="B255" s="43" t="s">
        <v>114</v>
      </c>
      <c r="C255" s="43">
        <v>54</v>
      </c>
      <c r="D255" s="43" t="s">
        <v>115</v>
      </c>
      <c r="E255" s="44">
        <v>36.700000000000003</v>
      </c>
      <c r="F255" s="43" t="s">
        <v>116</v>
      </c>
      <c r="G255" s="43">
        <v>2</v>
      </c>
      <c r="H255" s="43" t="s">
        <v>59</v>
      </c>
      <c r="I255" s="43" t="s">
        <v>28</v>
      </c>
      <c r="J255" s="43" t="s">
        <v>49</v>
      </c>
      <c r="K255" s="43" t="s">
        <v>805</v>
      </c>
      <c r="L255" s="44">
        <v>29965.99</v>
      </c>
      <c r="M255" s="44">
        <v>21460.240000000002</v>
      </c>
      <c r="N255" s="43" t="s">
        <v>73</v>
      </c>
      <c r="O255" s="46" t="s">
        <v>17</v>
      </c>
    </row>
    <row r="256" spans="1:15" ht="15.75" customHeight="1" x14ac:dyDescent="0.3">
      <c r="A256" s="40" t="s">
        <v>806</v>
      </c>
      <c r="B256" s="40" t="s">
        <v>807</v>
      </c>
      <c r="C256" s="40">
        <v>52</v>
      </c>
      <c r="D256" s="40" t="s">
        <v>115</v>
      </c>
      <c r="E256" s="41">
        <v>30.8</v>
      </c>
      <c r="F256" s="40" t="s">
        <v>128</v>
      </c>
      <c r="G256" s="40">
        <v>1</v>
      </c>
      <c r="H256" s="40" t="s">
        <v>65</v>
      </c>
      <c r="I256" s="40" t="s">
        <v>29</v>
      </c>
      <c r="J256" s="40" t="s">
        <v>46</v>
      </c>
      <c r="K256" s="40" t="s">
        <v>808</v>
      </c>
      <c r="L256" s="41">
        <v>28481.59</v>
      </c>
      <c r="M256" s="41">
        <v>25712.09</v>
      </c>
      <c r="N256" s="40"/>
      <c r="O256" s="45" t="s">
        <v>18</v>
      </c>
    </row>
    <row r="257" spans="1:15" ht="15.75" customHeight="1" x14ac:dyDescent="0.3">
      <c r="A257" s="43" t="s">
        <v>809</v>
      </c>
      <c r="B257" s="43" t="s">
        <v>182</v>
      </c>
      <c r="C257" s="43">
        <v>67</v>
      </c>
      <c r="D257" s="43" t="s">
        <v>124</v>
      </c>
      <c r="E257" s="44">
        <v>35.799999999999997</v>
      </c>
      <c r="F257" s="43" t="s">
        <v>128</v>
      </c>
      <c r="G257" s="43">
        <v>0</v>
      </c>
      <c r="H257" s="43" t="s">
        <v>59</v>
      </c>
      <c r="I257" s="43" t="s">
        <v>31</v>
      </c>
      <c r="J257" s="43" t="s">
        <v>50</v>
      </c>
      <c r="K257" s="43" t="s">
        <v>810</v>
      </c>
      <c r="L257" s="44">
        <v>84359.59</v>
      </c>
      <c r="M257" s="44">
        <v>64243.77</v>
      </c>
      <c r="N257" s="43"/>
      <c r="O257" s="46" t="s">
        <v>17</v>
      </c>
    </row>
    <row r="258" spans="1:15" ht="15.75" customHeight="1" x14ac:dyDescent="0.3">
      <c r="A258" s="40" t="s">
        <v>811</v>
      </c>
      <c r="B258" s="40" t="s">
        <v>812</v>
      </c>
      <c r="C258" s="40">
        <v>29</v>
      </c>
      <c r="D258" s="40" t="s">
        <v>124</v>
      </c>
      <c r="E258" s="41">
        <v>44.8</v>
      </c>
      <c r="F258" s="40" t="s">
        <v>128</v>
      </c>
      <c r="G258" s="40">
        <v>0</v>
      </c>
      <c r="H258" s="40" t="s">
        <v>61</v>
      </c>
      <c r="I258" s="40" t="s">
        <v>30</v>
      </c>
      <c r="J258" s="40" t="s">
        <v>42</v>
      </c>
      <c r="K258" s="40" t="s">
        <v>198</v>
      </c>
      <c r="L258" s="41">
        <v>80178.820000000007</v>
      </c>
      <c r="M258" s="41">
        <v>73548.83</v>
      </c>
      <c r="N258" s="40"/>
      <c r="O258" s="42" t="s">
        <v>16</v>
      </c>
    </row>
    <row r="259" spans="1:15" ht="15.75" customHeight="1" x14ac:dyDescent="0.3">
      <c r="A259" s="43" t="s">
        <v>813</v>
      </c>
      <c r="B259" s="43" t="s">
        <v>814</v>
      </c>
      <c r="C259" s="43">
        <v>47</v>
      </c>
      <c r="D259" s="43" t="s">
        <v>124</v>
      </c>
      <c r="E259" s="44">
        <v>41.4</v>
      </c>
      <c r="F259" s="43" t="s">
        <v>128</v>
      </c>
      <c r="G259" s="43">
        <v>1</v>
      </c>
      <c r="H259" s="43" t="s">
        <v>59</v>
      </c>
      <c r="I259" s="43" t="s">
        <v>32</v>
      </c>
      <c r="J259" s="43" t="s">
        <v>46</v>
      </c>
      <c r="K259" s="43" t="s">
        <v>249</v>
      </c>
      <c r="L259" s="44">
        <v>7292.92</v>
      </c>
      <c r="M259" s="44">
        <v>6784.15</v>
      </c>
      <c r="N259" s="43" t="s">
        <v>75</v>
      </c>
      <c r="O259" s="42" t="s">
        <v>16</v>
      </c>
    </row>
    <row r="260" spans="1:15" ht="15.75" customHeight="1" x14ac:dyDescent="0.3">
      <c r="A260" s="40" t="s">
        <v>815</v>
      </c>
      <c r="B260" s="40" t="s">
        <v>299</v>
      </c>
      <c r="C260" s="40">
        <v>19</v>
      </c>
      <c r="D260" s="40" t="s">
        <v>120</v>
      </c>
      <c r="E260" s="41">
        <v>23.6</v>
      </c>
      <c r="F260" s="40" t="s">
        <v>116</v>
      </c>
      <c r="G260" s="40">
        <v>0</v>
      </c>
      <c r="H260" s="40" t="s">
        <v>59</v>
      </c>
      <c r="I260" s="40" t="s">
        <v>28</v>
      </c>
      <c r="J260" s="40" t="s">
        <v>47</v>
      </c>
      <c r="K260" s="40" t="s">
        <v>816</v>
      </c>
      <c r="L260" s="41">
        <v>17442.25</v>
      </c>
      <c r="M260" s="41">
        <v>9700.36</v>
      </c>
      <c r="N260" s="40" t="s">
        <v>75</v>
      </c>
      <c r="O260" s="42" t="s">
        <v>16</v>
      </c>
    </row>
    <row r="261" spans="1:15" ht="15.75" customHeight="1" x14ac:dyDescent="0.3">
      <c r="A261" s="43" t="s">
        <v>817</v>
      </c>
      <c r="B261" s="43" t="s">
        <v>313</v>
      </c>
      <c r="C261" s="43">
        <v>20</v>
      </c>
      <c r="D261" s="43" t="s">
        <v>115</v>
      </c>
      <c r="E261" s="44">
        <v>41.7</v>
      </c>
      <c r="F261" s="43" t="s">
        <v>128</v>
      </c>
      <c r="G261" s="43">
        <v>2</v>
      </c>
      <c r="H261" s="43" t="s">
        <v>63</v>
      </c>
      <c r="I261" s="43" t="s">
        <v>31</v>
      </c>
      <c r="J261" s="43" t="s">
        <v>49</v>
      </c>
      <c r="K261" s="43" t="s">
        <v>651</v>
      </c>
      <c r="L261" s="44">
        <v>33329.279999999999</v>
      </c>
      <c r="M261" s="44">
        <v>23749.78</v>
      </c>
      <c r="N261" s="43"/>
      <c r="O261" s="42" t="s">
        <v>16</v>
      </c>
    </row>
    <row r="262" spans="1:15" ht="15.75" customHeight="1" x14ac:dyDescent="0.3">
      <c r="A262" s="40" t="s">
        <v>818</v>
      </c>
      <c r="B262" s="40" t="s">
        <v>334</v>
      </c>
      <c r="C262" s="40">
        <v>73</v>
      </c>
      <c r="D262" s="40" t="s">
        <v>115</v>
      </c>
      <c r="E262" s="41">
        <v>23.5</v>
      </c>
      <c r="F262" s="40" t="s">
        <v>116</v>
      </c>
      <c r="G262" s="40">
        <v>2</v>
      </c>
      <c r="H262" s="40" t="s">
        <v>63</v>
      </c>
      <c r="I262" s="40" t="s">
        <v>31</v>
      </c>
      <c r="J262" s="40" t="s">
        <v>49</v>
      </c>
      <c r="K262" s="40" t="s">
        <v>819</v>
      </c>
      <c r="L262" s="41">
        <v>54458.38</v>
      </c>
      <c r="M262" s="41">
        <v>36933.32</v>
      </c>
      <c r="N262" s="40" t="s">
        <v>73</v>
      </c>
      <c r="O262" s="46" t="s">
        <v>17</v>
      </c>
    </row>
    <row r="263" spans="1:15" ht="15.75" customHeight="1" x14ac:dyDescent="0.3">
      <c r="A263" s="43" t="s">
        <v>820</v>
      </c>
      <c r="B263" s="43" t="s">
        <v>821</v>
      </c>
      <c r="C263" s="43">
        <v>80</v>
      </c>
      <c r="D263" s="43" t="s">
        <v>115</v>
      </c>
      <c r="E263" s="44">
        <v>15.2</v>
      </c>
      <c r="F263" s="43" t="s">
        <v>128</v>
      </c>
      <c r="G263" s="43">
        <v>2</v>
      </c>
      <c r="H263" s="43" t="s">
        <v>65</v>
      </c>
      <c r="I263" s="43" t="s">
        <v>29</v>
      </c>
      <c r="J263" s="43" t="s">
        <v>44</v>
      </c>
      <c r="K263" s="43" t="s">
        <v>822</v>
      </c>
      <c r="L263" s="44">
        <v>7028.31</v>
      </c>
      <c r="M263" s="44">
        <v>5802.83</v>
      </c>
      <c r="N263" s="43"/>
      <c r="O263" s="46" t="s">
        <v>17</v>
      </c>
    </row>
    <row r="264" spans="1:15" ht="15.75" customHeight="1" x14ac:dyDescent="0.3">
      <c r="A264" s="40" t="s">
        <v>823</v>
      </c>
      <c r="B264" s="40" t="s">
        <v>824</v>
      </c>
      <c r="C264" s="40">
        <v>40</v>
      </c>
      <c r="D264" s="40" t="s">
        <v>124</v>
      </c>
      <c r="E264" s="41">
        <v>25.2</v>
      </c>
      <c r="F264" s="40" t="s">
        <v>116</v>
      </c>
      <c r="G264" s="40">
        <v>4</v>
      </c>
      <c r="H264" s="40" t="s">
        <v>59</v>
      </c>
      <c r="I264" s="40" t="s">
        <v>32</v>
      </c>
      <c r="J264" s="40" t="s">
        <v>42</v>
      </c>
      <c r="K264" s="40" t="s">
        <v>825</v>
      </c>
      <c r="L264" s="41">
        <v>51080.44</v>
      </c>
      <c r="M264" s="41">
        <v>35795.4</v>
      </c>
      <c r="N264" s="40"/>
      <c r="O264" s="46" t="s">
        <v>17</v>
      </c>
    </row>
    <row r="265" spans="1:15" ht="15.75" customHeight="1" x14ac:dyDescent="0.3">
      <c r="A265" s="43" t="s">
        <v>826</v>
      </c>
      <c r="B265" s="43" t="s">
        <v>827</v>
      </c>
      <c r="C265" s="43">
        <v>65</v>
      </c>
      <c r="D265" s="43" t="s">
        <v>115</v>
      </c>
      <c r="E265" s="44">
        <v>17.100000000000001</v>
      </c>
      <c r="F265" s="43" t="s">
        <v>116</v>
      </c>
      <c r="G265" s="43">
        <v>4</v>
      </c>
      <c r="H265" s="43" t="s">
        <v>57</v>
      </c>
      <c r="I265" s="43" t="s">
        <v>29</v>
      </c>
      <c r="J265" s="43" t="s">
        <v>42</v>
      </c>
      <c r="K265" s="43" t="s">
        <v>828</v>
      </c>
      <c r="L265" s="44">
        <v>100695.63</v>
      </c>
      <c r="M265" s="44">
        <v>88748.31</v>
      </c>
      <c r="N265" s="43" t="s">
        <v>73</v>
      </c>
      <c r="O265" s="45" t="s">
        <v>18</v>
      </c>
    </row>
    <row r="266" spans="1:15" ht="15.75" customHeight="1" x14ac:dyDescent="0.3">
      <c r="A266" s="40" t="s">
        <v>829</v>
      </c>
      <c r="B266" s="40" t="s">
        <v>830</v>
      </c>
      <c r="C266" s="40">
        <v>78</v>
      </c>
      <c r="D266" s="40" t="s">
        <v>124</v>
      </c>
      <c r="E266" s="41">
        <v>47</v>
      </c>
      <c r="F266" s="40" t="s">
        <v>128</v>
      </c>
      <c r="G266" s="40">
        <v>3</v>
      </c>
      <c r="H266" s="40" t="s">
        <v>57</v>
      </c>
      <c r="I266" s="40" t="s">
        <v>29</v>
      </c>
      <c r="J266" s="40" t="s">
        <v>46</v>
      </c>
      <c r="K266" s="40" t="s">
        <v>831</v>
      </c>
      <c r="L266" s="41">
        <v>105728.67</v>
      </c>
      <c r="M266" s="41">
        <v>73137.179999999993</v>
      </c>
      <c r="N266" s="40" t="s">
        <v>73</v>
      </c>
      <c r="O266" s="42" t="s">
        <v>16</v>
      </c>
    </row>
    <row r="267" spans="1:15" ht="15.75" customHeight="1" x14ac:dyDescent="0.3">
      <c r="A267" s="43" t="s">
        <v>832</v>
      </c>
      <c r="B267" s="43" t="s">
        <v>833</v>
      </c>
      <c r="C267" s="43">
        <v>21</v>
      </c>
      <c r="D267" s="43" t="s">
        <v>120</v>
      </c>
      <c r="E267" s="44">
        <v>18.100000000000001</v>
      </c>
      <c r="F267" s="43" t="s">
        <v>116</v>
      </c>
      <c r="G267" s="43">
        <v>4</v>
      </c>
      <c r="H267" s="43" t="s">
        <v>65</v>
      </c>
      <c r="I267" s="43" t="s">
        <v>32</v>
      </c>
      <c r="J267" s="43" t="s">
        <v>42</v>
      </c>
      <c r="K267" s="43" t="s">
        <v>834</v>
      </c>
      <c r="L267" s="44">
        <v>34703.9</v>
      </c>
      <c r="M267" s="44">
        <v>23668.62</v>
      </c>
      <c r="N267" s="43"/>
      <c r="O267" s="42" t="s">
        <v>16</v>
      </c>
    </row>
    <row r="268" spans="1:15" ht="15.75" customHeight="1" x14ac:dyDescent="0.3">
      <c r="A268" s="40" t="s">
        <v>835</v>
      </c>
      <c r="B268" s="40" t="s">
        <v>713</v>
      </c>
      <c r="C268" s="40">
        <v>52</v>
      </c>
      <c r="D268" s="40" t="s">
        <v>115</v>
      </c>
      <c r="E268" s="41">
        <v>15.2</v>
      </c>
      <c r="F268" s="40" t="s">
        <v>128</v>
      </c>
      <c r="G268" s="40">
        <v>0</v>
      </c>
      <c r="H268" s="40" t="s">
        <v>61</v>
      </c>
      <c r="I268" s="40" t="s">
        <v>28</v>
      </c>
      <c r="J268" s="40" t="s">
        <v>42</v>
      </c>
      <c r="K268" s="40" t="s">
        <v>836</v>
      </c>
      <c r="L268" s="41">
        <v>92036.160000000003</v>
      </c>
      <c r="M268" s="41">
        <v>58150.33</v>
      </c>
      <c r="N268" s="40"/>
      <c r="O268" s="46" t="s">
        <v>17</v>
      </c>
    </row>
    <row r="269" spans="1:15" ht="15.75" customHeight="1" x14ac:dyDescent="0.3">
      <c r="A269" s="43" t="s">
        <v>837</v>
      </c>
      <c r="B269" s="43" t="s">
        <v>385</v>
      </c>
      <c r="C269" s="43">
        <v>44</v>
      </c>
      <c r="D269" s="43" t="s">
        <v>124</v>
      </c>
      <c r="E269" s="44">
        <v>39.1</v>
      </c>
      <c r="F269" s="43" t="s">
        <v>128</v>
      </c>
      <c r="G269" s="43">
        <v>0</v>
      </c>
      <c r="H269" s="43" t="s">
        <v>65</v>
      </c>
      <c r="I269" s="43" t="s">
        <v>31</v>
      </c>
      <c r="J269" s="43" t="s">
        <v>46</v>
      </c>
      <c r="K269" s="43" t="s">
        <v>838</v>
      </c>
      <c r="L269" s="44">
        <v>88468.85</v>
      </c>
      <c r="M269" s="44">
        <v>65435.94</v>
      </c>
      <c r="N269" s="43"/>
      <c r="O269" s="42" t="s">
        <v>16</v>
      </c>
    </row>
    <row r="270" spans="1:15" ht="15.75" customHeight="1" x14ac:dyDescent="0.3">
      <c r="A270" s="40" t="s">
        <v>839</v>
      </c>
      <c r="B270" s="40" t="s">
        <v>840</v>
      </c>
      <c r="C270" s="40">
        <v>36</v>
      </c>
      <c r="D270" s="40" t="s">
        <v>124</v>
      </c>
      <c r="E270" s="41">
        <v>39.299999999999997</v>
      </c>
      <c r="F270" s="40" t="s">
        <v>116</v>
      </c>
      <c r="G270" s="40">
        <v>3</v>
      </c>
      <c r="H270" s="40" t="s">
        <v>61</v>
      </c>
      <c r="I270" s="40" t="s">
        <v>32</v>
      </c>
      <c r="J270" s="40" t="s">
        <v>46</v>
      </c>
      <c r="K270" s="40" t="s">
        <v>841</v>
      </c>
      <c r="L270" s="41">
        <v>84413.75</v>
      </c>
      <c r="M270" s="41">
        <v>68634.41</v>
      </c>
      <c r="N270" s="40" t="s">
        <v>73</v>
      </c>
      <c r="O270" s="45" t="s">
        <v>18</v>
      </c>
    </row>
    <row r="271" spans="1:15" ht="15.75" customHeight="1" x14ac:dyDescent="0.3">
      <c r="A271" s="43" t="s">
        <v>842</v>
      </c>
      <c r="B271" s="43" t="s">
        <v>282</v>
      </c>
      <c r="C271" s="43">
        <v>43</v>
      </c>
      <c r="D271" s="43" t="s">
        <v>120</v>
      </c>
      <c r="E271" s="44">
        <v>44.7</v>
      </c>
      <c r="F271" s="43" t="s">
        <v>128</v>
      </c>
      <c r="G271" s="43">
        <v>2</v>
      </c>
      <c r="H271" s="43" t="s">
        <v>65</v>
      </c>
      <c r="I271" s="43" t="s">
        <v>31</v>
      </c>
      <c r="J271" s="43" t="s">
        <v>40</v>
      </c>
      <c r="K271" s="43" t="s">
        <v>843</v>
      </c>
      <c r="L271" s="44">
        <v>98765.01</v>
      </c>
      <c r="M271" s="44">
        <v>80393.94</v>
      </c>
      <c r="N271" s="43"/>
      <c r="O271" s="42" t="s">
        <v>16</v>
      </c>
    </row>
    <row r="272" spans="1:15" ht="15.75" customHeight="1" x14ac:dyDescent="0.3">
      <c r="A272" s="40" t="s">
        <v>844</v>
      </c>
      <c r="B272" s="40" t="s">
        <v>821</v>
      </c>
      <c r="C272" s="40">
        <v>23</v>
      </c>
      <c r="D272" s="40" t="s">
        <v>115</v>
      </c>
      <c r="E272" s="41">
        <v>44.8</v>
      </c>
      <c r="F272" s="40" t="s">
        <v>128</v>
      </c>
      <c r="G272" s="40">
        <v>0</v>
      </c>
      <c r="H272" s="40" t="s">
        <v>59</v>
      </c>
      <c r="I272" s="40" t="s">
        <v>31</v>
      </c>
      <c r="J272" s="40" t="s">
        <v>47</v>
      </c>
      <c r="K272" s="40" t="s">
        <v>845</v>
      </c>
      <c r="L272" s="41">
        <v>102683.83</v>
      </c>
      <c r="M272" s="41">
        <v>76122.3</v>
      </c>
      <c r="N272" s="40"/>
      <c r="O272" s="46" t="s">
        <v>17</v>
      </c>
    </row>
    <row r="273" spans="1:15" ht="15.75" customHeight="1" x14ac:dyDescent="0.3">
      <c r="A273" s="43" t="s">
        <v>846</v>
      </c>
      <c r="B273" s="43" t="s">
        <v>586</v>
      </c>
      <c r="C273" s="43">
        <v>55</v>
      </c>
      <c r="D273" s="43" t="s">
        <v>124</v>
      </c>
      <c r="E273" s="44">
        <v>40.4</v>
      </c>
      <c r="F273" s="43" t="s">
        <v>116</v>
      </c>
      <c r="G273" s="43">
        <v>4</v>
      </c>
      <c r="H273" s="43" t="s">
        <v>57</v>
      </c>
      <c r="I273" s="43" t="s">
        <v>29</v>
      </c>
      <c r="J273" s="43" t="s">
        <v>40</v>
      </c>
      <c r="K273" s="43" t="s">
        <v>847</v>
      </c>
      <c r="L273" s="44">
        <v>72643.59</v>
      </c>
      <c r="M273" s="44">
        <v>68192.81</v>
      </c>
      <c r="N273" s="43"/>
      <c r="O273" s="46" t="s">
        <v>17</v>
      </c>
    </row>
    <row r="274" spans="1:15" ht="15.75" customHeight="1" x14ac:dyDescent="0.3">
      <c r="A274" s="40" t="s">
        <v>848</v>
      </c>
      <c r="B274" s="40" t="s">
        <v>849</v>
      </c>
      <c r="C274" s="40">
        <v>48</v>
      </c>
      <c r="D274" s="40" t="s">
        <v>120</v>
      </c>
      <c r="E274" s="41">
        <v>26.2</v>
      </c>
      <c r="F274" s="40" t="s">
        <v>116</v>
      </c>
      <c r="G274" s="40">
        <v>3</v>
      </c>
      <c r="H274" s="40" t="s">
        <v>65</v>
      </c>
      <c r="I274" s="40" t="s">
        <v>30</v>
      </c>
      <c r="J274" s="40" t="s">
        <v>46</v>
      </c>
      <c r="K274" s="40" t="s">
        <v>850</v>
      </c>
      <c r="L274" s="41">
        <v>87065.23</v>
      </c>
      <c r="M274" s="41">
        <v>53814.38</v>
      </c>
      <c r="N274" s="40" t="s">
        <v>75</v>
      </c>
      <c r="O274" s="42" t="s">
        <v>16</v>
      </c>
    </row>
    <row r="275" spans="1:15" ht="15.75" customHeight="1" x14ac:dyDescent="0.3">
      <c r="A275" s="43" t="s">
        <v>851</v>
      </c>
      <c r="B275" s="43" t="s">
        <v>149</v>
      </c>
      <c r="C275" s="43">
        <v>32</v>
      </c>
      <c r="D275" s="43" t="s">
        <v>124</v>
      </c>
      <c r="E275" s="44">
        <v>37</v>
      </c>
      <c r="F275" s="43" t="s">
        <v>116</v>
      </c>
      <c r="G275" s="43">
        <v>0</v>
      </c>
      <c r="H275" s="43" t="s">
        <v>61</v>
      </c>
      <c r="I275" s="43" t="s">
        <v>31</v>
      </c>
      <c r="J275" s="43" t="s">
        <v>46</v>
      </c>
      <c r="K275" s="43" t="s">
        <v>852</v>
      </c>
      <c r="L275" s="44">
        <v>2368.73</v>
      </c>
      <c r="M275" s="44">
        <v>1558.24</v>
      </c>
      <c r="N275" s="43"/>
      <c r="O275" s="45" t="s">
        <v>18</v>
      </c>
    </row>
    <row r="276" spans="1:15" ht="15.75" customHeight="1" x14ac:dyDescent="0.3">
      <c r="A276" s="40" t="s">
        <v>853</v>
      </c>
      <c r="B276" s="40" t="s">
        <v>456</v>
      </c>
      <c r="C276" s="40">
        <v>84</v>
      </c>
      <c r="D276" s="40" t="s">
        <v>115</v>
      </c>
      <c r="E276" s="41">
        <v>38.6</v>
      </c>
      <c r="F276" s="40" t="s">
        <v>128</v>
      </c>
      <c r="G276" s="40">
        <v>0</v>
      </c>
      <c r="H276" s="40" t="s">
        <v>59</v>
      </c>
      <c r="I276" s="40" t="s">
        <v>31</v>
      </c>
      <c r="J276" s="40" t="s">
        <v>47</v>
      </c>
      <c r="K276" s="40" t="s">
        <v>854</v>
      </c>
      <c r="L276" s="41">
        <v>17746.64</v>
      </c>
      <c r="M276" s="41">
        <v>13150.36</v>
      </c>
      <c r="N276" s="40"/>
      <c r="O276" s="42" t="s">
        <v>16</v>
      </c>
    </row>
    <row r="277" spans="1:15" ht="15.75" customHeight="1" x14ac:dyDescent="0.3">
      <c r="A277" s="43" t="s">
        <v>855</v>
      </c>
      <c r="B277" s="43" t="s">
        <v>856</v>
      </c>
      <c r="C277" s="43">
        <v>80</v>
      </c>
      <c r="D277" s="43" t="s">
        <v>115</v>
      </c>
      <c r="E277" s="44">
        <v>34.4</v>
      </c>
      <c r="F277" s="43" t="s">
        <v>128</v>
      </c>
      <c r="G277" s="43">
        <v>0</v>
      </c>
      <c r="H277" s="43" t="s">
        <v>59</v>
      </c>
      <c r="I277" s="43" t="s">
        <v>29</v>
      </c>
      <c r="J277" s="43" t="s">
        <v>40</v>
      </c>
      <c r="K277" s="43" t="s">
        <v>843</v>
      </c>
      <c r="L277" s="44">
        <v>8951.98</v>
      </c>
      <c r="M277" s="44">
        <v>6489.9</v>
      </c>
      <c r="N277" s="43"/>
      <c r="O277" s="42" t="s">
        <v>16</v>
      </c>
    </row>
    <row r="278" spans="1:15" ht="15.75" customHeight="1" x14ac:dyDescent="0.3">
      <c r="A278" s="40" t="s">
        <v>857</v>
      </c>
      <c r="B278" s="40" t="s">
        <v>858</v>
      </c>
      <c r="C278" s="40">
        <v>66</v>
      </c>
      <c r="D278" s="40" t="s">
        <v>124</v>
      </c>
      <c r="E278" s="41">
        <v>26.8</v>
      </c>
      <c r="F278" s="40" t="s">
        <v>128</v>
      </c>
      <c r="G278" s="40">
        <v>1</v>
      </c>
      <c r="H278" s="40" t="s">
        <v>63</v>
      </c>
      <c r="I278" s="40" t="s">
        <v>28</v>
      </c>
      <c r="J278" s="40" t="s">
        <v>49</v>
      </c>
      <c r="K278" s="40" t="s">
        <v>859</v>
      </c>
      <c r="L278" s="41">
        <v>35682.519999999997</v>
      </c>
      <c r="M278" s="41">
        <v>28618.13</v>
      </c>
      <c r="N278" s="40"/>
      <c r="O278" s="45" t="s">
        <v>18</v>
      </c>
    </row>
    <row r="279" spans="1:15" ht="15.75" customHeight="1" x14ac:dyDescent="0.3">
      <c r="A279" s="43" t="s">
        <v>860</v>
      </c>
      <c r="B279" s="43" t="s">
        <v>861</v>
      </c>
      <c r="C279" s="43">
        <v>72</v>
      </c>
      <c r="D279" s="43" t="s">
        <v>124</v>
      </c>
      <c r="E279" s="44">
        <v>18.600000000000001</v>
      </c>
      <c r="F279" s="43" t="s">
        <v>116</v>
      </c>
      <c r="G279" s="43">
        <v>2</v>
      </c>
      <c r="H279" s="43" t="s">
        <v>57</v>
      </c>
      <c r="I279" s="43" t="s">
        <v>30</v>
      </c>
      <c r="J279" s="43" t="s">
        <v>50</v>
      </c>
      <c r="K279" s="43" t="s">
        <v>862</v>
      </c>
      <c r="L279" s="44">
        <v>28193.48</v>
      </c>
      <c r="M279" s="44">
        <v>17063.900000000001</v>
      </c>
      <c r="N279" s="43" t="s">
        <v>75</v>
      </c>
      <c r="O279" s="42" t="s">
        <v>16</v>
      </c>
    </row>
    <row r="280" spans="1:15" ht="15.75" customHeight="1" x14ac:dyDescent="0.3">
      <c r="A280" s="40" t="s">
        <v>863</v>
      </c>
      <c r="B280" s="40" t="s">
        <v>864</v>
      </c>
      <c r="C280" s="40">
        <v>50</v>
      </c>
      <c r="D280" s="40" t="s">
        <v>115</v>
      </c>
      <c r="E280" s="41">
        <v>17.899999999999999</v>
      </c>
      <c r="F280" s="40" t="s">
        <v>116</v>
      </c>
      <c r="G280" s="40">
        <v>2</v>
      </c>
      <c r="H280" s="40" t="s">
        <v>63</v>
      </c>
      <c r="I280" s="40" t="s">
        <v>29</v>
      </c>
      <c r="J280" s="40" t="s">
        <v>50</v>
      </c>
      <c r="K280" s="40" t="s">
        <v>865</v>
      </c>
      <c r="L280" s="41">
        <v>109186.38</v>
      </c>
      <c r="M280" s="41">
        <v>67746.16</v>
      </c>
      <c r="N280" s="40"/>
      <c r="O280" s="45" t="s">
        <v>18</v>
      </c>
    </row>
    <row r="281" spans="1:15" ht="15.75" customHeight="1" x14ac:dyDescent="0.3">
      <c r="A281" s="43" t="s">
        <v>866</v>
      </c>
      <c r="B281" s="43" t="s">
        <v>762</v>
      </c>
      <c r="C281" s="43">
        <v>65</v>
      </c>
      <c r="D281" s="43" t="s">
        <v>124</v>
      </c>
      <c r="E281" s="44">
        <v>48.3</v>
      </c>
      <c r="F281" s="43" t="s">
        <v>128</v>
      </c>
      <c r="G281" s="43">
        <v>4</v>
      </c>
      <c r="H281" s="43" t="s">
        <v>59</v>
      </c>
      <c r="I281" s="43" t="s">
        <v>30</v>
      </c>
      <c r="J281" s="43" t="s">
        <v>46</v>
      </c>
      <c r="K281" s="43" t="s">
        <v>867</v>
      </c>
      <c r="L281" s="44">
        <v>34256.160000000003</v>
      </c>
      <c r="M281" s="44">
        <v>28249.58</v>
      </c>
      <c r="N281" s="43" t="s">
        <v>75</v>
      </c>
      <c r="O281" s="42" t="s">
        <v>16</v>
      </c>
    </row>
    <row r="282" spans="1:15" ht="15.75" customHeight="1" x14ac:dyDescent="0.3">
      <c r="A282" s="40" t="s">
        <v>868</v>
      </c>
      <c r="B282" s="40" t="s">
        <v>248</v>
      </c>
      <c r="C282" s="40">
        <v>23</v>
      </c>
      <c r="D282" s="40" t="s">
        <v>115</v>
      </c>
      <c r="E282" s="41">
        <v>35.799999999999997</v>
      </c>
      <c r="F282" s="40" t="s">
        <v>116</v>
      </c>
      <c r="G282" s="40">
        <v>0</v>
      </c>
      <c r="H282" s="40" t="s">
        <v>57</v>
      </c>
      <c r="I282" s="40" t="s">
        <v>31</v>
      </c>
      <c r="J282" s="40" t="s">
        <v>42</v>
      </c>
      <c r="K282" s="40" t="s">
        <v>869</v>
      </c>
      <c r="L282" s="41">
        <v>12914.88</v>
      </c>
      <c r="M282" s="41">
        <v>12599.31</v>
      </c>
      <c r="N282" s="40"/>
      <c r="O282" s="42" t="s">
        <v>16</v>
      </c>
    </row>
    <row r="283" spans="1:15" ht="15.75" customHeight="1" x14ac:dyDescent="0.3">
      <c r="A283" s="43" t="s">
        <v>870</v>
      </c>
      <c r="B283" s="43" t="s">
        <v>827</v>
      </c>
      <c r="C283" s="43">
        <v>40</v>
      </c>
      <c r="D283" s="43" t="s">
        <v>115</v>
      </c>
      <c r="E283" s="44">
        <v>29.4</v>
      </c>
      <c r="F283" s="43" t="s">
        <v>116</v>
      </c>
      <c r="G283" s="43">
        <v>0</v>
      </c>
      <c r="H283" s="43" t="s">
        <v>57</v>
      </c>
      <c r="I283" s="43" t="s">
        <v>29</v>
      </c>
      <c r="J283" s="43" t="s">
        <v>50</v>
      </c>
      <c r="K283" s="43" t="s">
        <v>871</v>
      </c>
      <c r="L283" s="44">
        <v>46673.01</v>
      </c>
      <c r="M283" s="44">
        <v>40542.400000000001</v>
      </c>
      <c r="N283" s="43" t="s">
        <v>75</v>
      </c>
      <c r="O283" s="42" t="s">
        <v>16</v>
      </c>
    </row>
    <row r="284" spans="1:15" ht="15.75" customHeight="1" x14ac:dyDescent="0.3">
      <c r="A284" s="40" t="s">
        <v>872</v>
      </c>
      <c r="B284" s="40" t="s">
        <v>873</v>
      </c>
      <c r="C284" s="40">
        <v>49</v>
      </c>
      <c r="D284" s="40" t="s">
        <v>120</v>
      </c>
      <c r="E284" s="41">
        <v>27.1</v>
      </c>
      <c r="F284" s="40" t="s">
        <v>128</v>
      </c>
      <c r="G284" s="40">
        <v>3</v>
      </c>
      <c r="H284" s="40" t="s">
        <v>61</v>
      </c>
      <c r="I284" s="40" t="s">
        <v>29</v>
      </c>
      <c r="J284" s="40" t="s">
        <v>42</v>
      </c>
      <c r="K284" s="40" t="s">
        <v>874</v>
      </c>
      <c r="L284" s="41">
        <v>55631.57</v>
      </c>
      <c r="M284" s="41">
        <v>47498.87</v>
      </c>
      <c r="N284" s="40"/>
      <c r="O284" s="42" t="s">
        <v>16</v>
      </c>
    </row>
    <row r="285" spans="1:15" ht="15.75" customHeight="1" x14ac:dyDescent="0.3">
      <c r="A285" s="43" t="s">
        <v>875</v>
      </c>
      <c r="B285" s="43" t="s">
        <v>876</v>
      </c>
      <c r="C285" s="43">
        <v>78</v>
      </c>
      <c r="D285" s="43" t="s">
        <v>120</v>
      </c>
      <c r="E285" s="44">
        <v>23</v>
      </c>
      <c r="F285" s="43" t="s">
        <v>116</v>
      </c>
      <c r="G285" s="43">
        <v>1</v>
      </c>
      <c r="H285" s="43" t="s">
        <v>65</v>
      </c>
      <c r="I285" s="43" t="s">
        <v>31</v>
      </c>
      <c r="J285" s="43" t="s">
        <v>50</v>
      </c>
      <c r="K285" s="43" t="s">
        <v>877</v>
      </c>
      <c r="L285" s="44">
        <v>101549.09</v>
      </c>
      <c r="M285" s="44">
        <v>72700.990000000005</v>
      </c>
      <c r="N285" s="43"/>
      <c r="O285" s="46" t="s">
        <v>17</v>
      </c>
    </row>
    <row r="286" spans="1:15" ht="15.75" customHeight="1" x14ac:dyDescent="0.3">
      <c r="A286" s="40" t="s">
        <v>878</v>
      </c>
      <c r="B286" s="40" t="s">
        <v>879</v>
      </c>
      <c r="C286" s="40">
        <v>29</v>
      </c>
      <c r="D286" s="40" t="s">
        <v>124</v>
      </c>
      <c r="E286" s="41">
        <v>29</v>
      </c>
      <c r="F286" s="40" t="s">
        <v>116</v>
      </c>
      <c r="G286" s="40">
        <v>1</v>
      </c>
      <c r="H286" s="40" t="s">
        <v>65</v>
      </c>
      <c r="I286" s="40" t="s">
        <v>31</v>
      </c>
      <c r="J286" s="40" t="s">
        <v>44</v>
      </c>
      <c r="K286" s="40" t="s">
        <v>171</v>
      </c>
      <c r="L286" s="41">
        <v>61982.29</v>
      </c>
      <c r="M286" s="41">
        <v>37623.449999999997</v>
      </c>
      <c r="N286" s="40"/>
      <c r="O286" s="42" t="s">
        <v>16</v>
      </c>
    </row>
    <row r="287" spans="1:15" ht="15.75" customHeight="1" x14ac:dyDescent="0.3">
      <c r="A287" s="43" t="s">
        <v>880</v>
      </c>
      <c r="B287" s="43" t="s">
        <v>881</v>
      </c>
      <c r="C287" s="43">
        <v>55</v>
      </c>
      <c r="D287" s="43" t="s">
        <v>124</v>
      </c>
      <c r="E287" s="44">
        <v>44.6</v>
      </c>
      <c r="F287" s="43" t="s">
        <v>116</v>
      </c>
      <c r="G287" s="43">
        <v>1</v>
      </c>
      <c r="H287" s="43" t="s">
        <v>57</v>
      </c>
      <c r="I287" s="43" t="s">
        <v>28</v>
      </c>
      <c r="J287" s="43" t="s">
        <v>47</v>
      </c>
      <c r="K287" s="43" t="s">
        <v>882</v>
      </c>
      <c r="L287" s="44">
        <v>12990.63</v>
      </c>
      <c r="M287" s="44">
        <v>10862.81</v>
      </c>
      <c r="N287" s="43"/>
      <c r="O287" s="42" t="s">
        <v>16</v>
      </c>
    </row>
    <row r="288" spans="1:15" ht="15.75" customHeight="1" x14ac:dyDescent="0.3">
      <c r="A288" s="40" t="s">
        <v>883</v>
      </c>
      <c r="B288" s="40" t="s">
        <v>884</v>
      </c>
      <c r="C288" s="40">
        <v>50</v>
      </c>
      <c r="D288" s="40" t="s">
        <v>115</v>
      </c>
      <c r="E288" s="41">
        <v>38.799999999999997</v>
      </c>
      <c r="F288" s="40" t="s">
        <v>116</v>
      </c>
      <c r="G288" s="40">
        <v>1</v>
      </c>
      <c r="H288" s="40" t="s">
        <v>65</v>
      </c>
      <c r="I288" s="40" t="s">
        <v>31</v>
      </c>
      <c r="J288" s="40" t="s">
        <v>50</v>
      </c>
      <c r="K288" s="40" t="s">
        <v>731</v>
      </c>
      <c r="L288" s="41">
        <v>42605.46</v>
      </c>
      <c r="M288" s="41">
        <v>37991.42</v>
      </c>
      <c r="N288" s="40"/>
      <c r="O288" s="45" t="s">
        <v>18</v>
      </c>
    </row>
    <row r="289" spans="1:15" ht="15.75" customHeight="1" x14ac:dyDescent="0.3">
      <c r="A289" s="43" t="s">
        <v>885</v>
      </c>
      <c r="B289" s="43" t="s">
        <v>886</v>
      </c>
      <c r="C289" s="43">
        <v>19</v>
      </c>
      <c r="D289" s="43" t="s">
        <v>124</v>
      </c>
      <c r="E289" s="44">
        <v>16.7</v>
      </c>
      <c r="F289" s="43" t="s">
        <v>128</v>
      </c>
      <c r="G289" s="43">
        <v>2</v>
      </c>
      <c r="H289" s="43" t="s">
        <v>65</v>
      </c>
      <c r="I289" s="43" t="s">
        <v>31</v>
      </c>
      <c r="J289" s="43" t="s">
        <v>49</v>
      </c>
      <c r="K289" s="43" t="s">
        <v>887</v>
      </c>
      <c r="L289" s="44"/>
      <c r="M289" s="44">
        <v>72224.13</v>
      </c>
      <c r="N289" s="43" t="s">
        <v>73</v>
      </c>
      <c r="O289" s="42" t="s">
        <v>16</v>
      </c>
    </row>
    <row r="290" spans="1:15" ht="15.75" customHeight="1" x14ac:dyDescent="0.3">
      <c r="A290" s="40" t="s">
        <v>888</v>
      </c>
      <c r="B290" s="40" t="s">
        <v>360</v>
      </c>
      <c r="C290" s="40">
        <v>28</v>
      </c>
      <c r="D290" s="40" t="s">
        <v>124</v>
      </c>
      <c r="E290" s="41">
        <v>40</v>
      </c>
      <c r="F290" s="40" t="s">
        <v>116</v>
      </c>
      <c r="G290" s="40">
        <v>3</v>
      </c>
      <c r="H290" s="40" t="s">
        <v>65</v>
      </c>
      <c r="I290" s="40" t="s">
        <v>31</v>
      </c>
      <c r="J290" s="40" t="s">
        <v>42</v>
      </c>
      <c r="K290" s="40" t="s">
        <v>889</v>
      </c>
      <c r="L290" s="41">
        <v>117212.15</v>
      </c>
      <c r="M290" s="41">
        <v>63363.5</v>
      </c>
      <c r="N290" s="40" t="s">
        <v>75</v>
      </c>
      <c r="O290" s="45" t="s">
        <v>18</v>
      </c>
    </row>
    <row r="291" spans="1:15" ht="15.75" customHeight="1" x14ac:dyDescent="0.3">
      <c r="A291" s="43" t="s">
        <v>890</v>
      </c>
      <c r="B291" s="43" t="s">
        <v>891</v>
      </c>
      <c r="C291" s="43">
        <v>39</v>
      </c>
      <c r="D291" s="43" t="s">
        <v>124</v>
      </c>
      <c r="E291" s="44">
        <v>35.1</v>
      </c>
      <c r="F291" s="43" t="s">
        <v>116</v>
      </c>
      <c r="G291" s="43">
        <v>0</v>
      </c>
      <c r="H291" s="43" t="s">
        <v>59</v>
      </c>
      <c r="I291" s="43" t="s">
        <v>29</v>
      </c>
      <c r="J291" s="43" t="s">
        <v>44</v>
      </c>
      <c r="K291" s="43" t="s">
        <v>892</v>
      </c>
      <c r="L291" s="44">
        <v>66262.899999999994</v>
      </c>
      <c r="M291" s="44">
        <v>64978.7</v>
      </c>
      <c r="N291" s="43" t="s">
        <v>73</v>
      </c>
      <c r="O291" s="42" t="s">
        <v>16</v>
      </c>
    </row>
    <row r="292" spans="1:15" ht="15.75" customHeight="1" x14ac:dyDescent="0.3">
      <c r="A292" s="40" t="s">
        <v>893</v>
      </c>
      <c r="B292" s="40" t="s">
        <v>894</v>
      </c>
      <c r="C292" s="40">
        <v>20</v>
      </c>
      <c r="D292" s="40" t="s">
        <v>115</v>
      </c>
      <c r="E292" s="41">
        <v>33.700000000000003</v>
      </c>
      <c r="F292" s="40" t="s">
        <v>128</v>
      </c>
      <c r="G292" s="40">
        <v>1</v>
      </c>
      <c r="H292" s="40" t="s">
        <v>63</v>
      </c>
      <c r="I292" s="40" t="s">
        <v>28</v>
      </c>
      <c r="J292" s="40" t="s">
        <v>49</v>
      </c>
      <c r="K292" s="40" t="s">
        <v>895</v>
      </c>
      <c r="L292" s="41">
        <v>61930.15</v>
      </c>
      <c r="M292" s="41">
        <v>59120.52</v>
      </c>
      <c r="N292" s="40" t="s">
        <v>74</v>
      </c>
      <c r="O292" s="42" t="s">
        <v>16</v>
      </c>
    </row>
    <row r="293" spans="1:15" ht="15.75" customHeight="1" x14ac:dyDescent="0.3">
      <c r="A293" s="43" t="s">
        <v>896</v>
      </c>
      <c r="B293" s="43" t="s">
        <v>897</v>
      </c>
      <c r="C293" s="43">
        <v>75</v>
      </c>
      <c r="D293" s="43" t="s">
        <v>120</v>
      </c>
      <c r="E293" s="44">
        <v>26.8</v>
      </c>
      <c r="F293" s="43" t="s">
        <v>128</v>
      </c>
      <c r="G293" s="43">
        <v>0</v>
      </c>
      <c r="H293" s="43" t="s">
        <v>63</v>
      </c>
      <c r="I293" s="43" t="s">
        <v>28</v>
      </c>
      <c r="J293" s="43" t="s">
        <v>42</v>
      </c>
      <c r="K293" s="43" t="s">
        <v>898</v>
      </c>
      <c r="L293" s="44">
        <v>22413.87</v>
      </c>
      <c r="M293" s="44">
        <v>21219.48</v>
      </c>
      <c r="N293" s="43"/>
      <c r="O293" s="42" t="s">
        <v>16</v>
      </c>
    </row>
    <row r="294" spans="1:15" ht="15.75" customHeight="1" x14ac:dyDescent="0.3">
      <c r="A294" s="40" t="s">
        <v>899</v>
      </c>
      <c r="B294" s="40" t="s">
        <v>614</v>
      </c>
      <c r="C294" s="40">
        <v>81</v>
      </c>
      <c r="D294" s="40" t="s">
        <v>120</v>
      </c>
      <c r="E294" s="41"/>
      <c r="F294" s="40" t="s">
        <v>128</v>
      </c>
      <c r="G294" s="40">
        <v>0</v>
      </c>
      <c r="H294" s="40" t="s">
        <v>61</v>
      </c>
      <c r="I294" s="40" t="s">
        <v>32</v>
      </c>
      <c r="J294" s="40" t="s">
        <v>47</v>
      </c>
      <c r="K294" s="40" t="s">
        <v>900</v>
      </c>
      <c r="L294" s="41">
        <v>39763.26</v>
      </c>
      <c r="M294" s="41">
        <v>27157.33</v>
      </c>
      <c r="N294" s="40"/>
      <c r="O294" s="42" t="s">
        <v>16</v>
      </c>
    </row>
    <row r="295" spans="1:15" ht="15.75" customHeight="1" x14ac:dyDescent="0.3">
      <c r="A295" s="43" t="s">
        <v>901</v>
      </c>
      <c r="B295" s="43" t="s">
        <v>496</v>
      </c>
      <c r="C295" s="43">
        <v>74</v>
      </c>
      <c r="D295" s="43" t="s">
        <v>124</v>
      </c>
      <c r="E295" s="44">
        <v>25.3</v>
      </c>
      <c r="F295" s="43" t="s">
        <v>116</v>
      </c>
      <c r="G295" s="43">
        <v>2</v>
      </c>
      <c r="H295" s="43" t="s">
        <v>63</v>
      </c>
      <c r="I295" s="43" t="s">
        <v>29</v>
      </c>
      <c r="J295" s="43" t="s">
        <v>42</v>
      </c>
      <c r="K295" s="43" t="s">
        <v>902</v>
      </c>
      <c r="L295" s="44">
        <v>47018.07</v>
      </c>
      <c r="M295" s="44">
        <v>34484.17</v>
      </c>
      <c r="N295" s="43" t="s">
        <v>74</v>
      </c>
      <c r="O295" s="42" t="s">
        <v>16</v>
      </c>
    </row>
    <row r="296" spans="1:15" ht="15.75" customHeight="1" x14ac:dyDescent="0.3">
      <c r="A296" s="40" t="s">
        <v>903</v>
      </c>
      <c r="B296" s="40" t="s">
        <v>814</v>
      </c>
      <c r="C296" s="40">
        <v>67</v>
      </c>
      <c r="D296" s="40" t="s">
        <v>115</v>
      </c>
      <c r="E296" s="41">
        <v>47.1</v>
      </c>
      <c r="F296" s="40" t="s">
        <v>116</v>
      </c>
      <c r="G296" s="40">
        <v>0</v>
      </c>
      <c r="H296" s="40" t="s">
        <v>59</v>
      </c>
      <c r="I296" s="40" t="s">
        <v>31</v>
      </c>
      <c r="J296" s="40" t="s">
        <v>42</v>
      </c>
      <c r="K296" s="40" t="s">
        <v>904</v>
      </c>
      <c r="L296" s="41">
        <v>44312.480000000003</v>
      </c>
      <c r="M296" s="41">
        <v>27408.34</v>
      </c>
      <c r="N296" s="40"/>
      <c r="O296" s="42" t="s">
        <v>16</v>
      </c>
    </row>
    <row r="297" spans="1:15" ht="15.75" customHeight="1" x14ac:dyDescent="0.3">
      <c r="A297" s="43" t="s">
        <v>905</v>
      </c>
      <c r="B297" s="43" t="s">
        <v>412</v>
      </c>
      <c r="C297" s="43">
        <v>65</v>
      </c>
      <c r="D297" s="43" t="s">
        <v>120</v>
      </c>
      <c r="E297" s="44">
        <v>17.7</v>
      </c>
      <c r="F297" s="43" t="s">
        <v>128</v>
      </c>
      <c r="G297" s="43">
        <v>4</v>
      </c>
      <c r="H297" s="43" t="s">
        <v>65</v>
      </c>
      <c r="I297" s="43" t="s">
        <v>29</v>
      </c>
      <c r="J297" s="43" t="s">
        <v>49</v>
      </c>
      <c r="K297" s="43" t="s">
        <v>906</v>
      </c>
      <c r="L297" s="44">
        <v>54808.47</v>
      </c>
      <c r="M297" s="44">
        <v>46443.68</v>
      </c>
      <c r="N297" s="43"/>
      <c r="O297" s="42" t="s">
        <v>16</v>
      </c>
    </row>
    <row r="298" spans="1:15" ht="15.75" customHeight="1" x14ac:dyDescent="0.3">
      <c r="A298" s="40" t="s">
        <v>907</v>
      </c>
      <c r="B298" s="40" t="s">
        <v>287</v>
      </c>
      <c r="C298" s="40">
        <v>78</v>
      </c>
      <c r="D298" s="40" t="s">
        <v>120</v>
      </c>
      <c r="E298" s="41">
        <v>21.2</v>
      </c>
      <c r="F298" s="40" t="s">
        <v>128</v>
      </c>
      <c r="G298" s="40">
        <v>4</v>
      </c>
      <c r="H298" s="40" t="s">
        <v>63</v>
      </c>
      <c r="I298" s="40" t="s">
        <v>31</v>
      </c>
      <c r="J298" s="40" t="s">
        <v>44</v>
      </c>
      <c r="K298" s="40" t="s">
        <v>908</v>
      </c>
      <c r="L298" s="41">
        <v>22914.5</v>
      </c>
      <c r="M298" s="41">
        <v>22500.959999999999</v>
      </c>
      <c r="N298" s="40" t="s">
        <v>73</v>
      </c>
      <c r="O298" s="45" t="s">
        <v>18</v>
      </c>
    </row>
    <row r="299" spans="1:15" ht="15.75" customHeight="1" x14ac:dyDescent="0.3">
      <c r="A299" s="43" t="s">
        <v>909</v>
      </c>
      <c r="B299" s="43" t="s">
        <v>910</v>
      </c>
      <c r="C299" s="43">
        <v>47</v>
      </c>
      <c r="D299" s="43" t="s">
        <v>124</v>
      </c>
      <c r="E299" s="44">
        <v>33.9</v>
      </c>
      <c r="F299" s="43" t="s">
        <v>128</v>
      </c>
      <c r="G299" s="43">
        <v>2</v>
      </c>
      <c r="H299" s="43" t="s">
        <v>61</v>
      </c>
      <c r="I299" s="43" t="s">
        <v>31</v>
      </c>
      <c r="J299" s="43" t="s">
        <v>44</v>
      </c>
      <c r="K299" s="43" t="s">
        <v>280</v>
      </c>
      <c r="L299" s="44">
        <v>94112.13</v>
      </c>
      <c r="M299" s="44">
        <v>53245.09</v>
      </c>
      <c r="N299" s="43"/>
      <c r="O299" s="42" t="s">
        <v>16</v>
      </c>
    </row>
    <row r="300" spans="1:15" ht="15.75" customHeight="1" x14ac:dyDescent="0.3">
      <c r="A300" s="40" t="s">
        <v>911</v>
      </c>
      <c r="B300" s="40" t="s">
        <v>912</v>
      </c>
      <c r="C300" s="40">
        <v>35</v>
      </c>
      <c r="D300" s="40" t="s">
        <v>115</v>
      </c>
      <c r="E300" s="41">
        <v>20.5</v>
      </c>
      <c r="F300" s="40" t="s">
        <v>128</v>
      </c>
      <c r="G300" s="40">
        <v>3</v>
      </c>
      <c r="H300" s="40" t="s">
        <v>59</v>
      </c>
      <c r="I300" s="40" t="s">
        <v>30</v>
      </c>
      <c r="J300" s="40" t="s">
        <v>47</v>
      </c>
      <c r="K300" s="40" t="s">
        <v>913</v>
      </c>
      <c r="L300" s="41">
        <v>76069.210000000006</v>
      </c>
      <c r="M300" s="41">
        <v>61310.53</v>
      </c>
      <c r="N300" s="40"/>
      <c r="O300" s="42" t="s">
        <v>16</v>
      </c>
    </row>
    <row r="301" spans="1:15" ht="15.75" customHeight="1" x14ac:dyDescent="0.3">
      <c r="A301" s="43" t="s">
        <v>914</v>
      </c>
      <c r="B301" s="43" t="s">
        <v>915</v>
      </c>
      <c r="C301" s="43">
        <v>38</v>
      </c>
      <c r="D301" s="43" t="s">
        <v>115</v>
      </c>
      <c r="E301" s="44">
        <v>46</v>
      </c>
      <c r="F301" s="43" t="s">
        <v>116</v>
      </c>
      <c r="G301" s="43">
        <v>3</v>
      </c>
      <c r="H301" s="43" t="s">
        <v>65</v>
      </c>
      <c r="I301" s="43" t="s">
        <v>32</v>
      </c>
      <c r="J301" s="43" t="s">
        <v>40</v>
      </c>
      <c r="K301" s="43" t="s">
        <v>916</v>
      </c>
      <c r="L301" s="44">
        <v>67051.67</v>
      </c>
      <c r="M301" s="44">
        <v>49800.06</v>
      </c>
      <c r="N301" s="43"/>
      <c r="O301" s="42" t="s">
        <v>16</v>
      </c>
    </row>
    <row r="302" spans="1:15" ht="15.75" customHeight="1" x14ac:dyDescent="0.3">
      <c r="A302" s="40" t="s">
        <v>917</v>
      </c>
      <c r="B302" s="40" t="s">
        <v>499</v>
      </c>
      <c r="C302" s="40">
        <v>52</v>
      </c>
      <c r="D302" s="40" t="s">
        <v>124</v>
      </c>
      <c r="E302" s="41">
        <v>34.799999999999997</v>
      </c>
      <c r="F302" s="40" t="s">
        <v>116</v>
      </c>
      <c r="G302" s="40">
        <v>2</v>
      </c>
      <c r="H302" s="40" t="s">
        <v>59</v>
      </c>
      <c r="I302" s="40" t="s">
        <v>30</v>
      </c>
      <c r="J302" s="40" t="s">
        <v>46</v>
      </c>
      <c r="K302" s="40" t="s">
        <v>918</v>
      </c>
      <c r="L302" s="41"/>
      <c r="M302" s="41">
        <v>11551.16</v>
      </c>
      <c r="N302" s="40"/>
      <c r="O302" s="42" t="s">
        <v>16</v>
      </c>
    </row>
    <row r="303" spans="1:15" ht="15.75" customHeight="1" x14ac:dyDescent="0.3">
      <c r="A303" s="43" t="s">
        <v>919</v>
      </c>
      <c r="B303" s="43" t="s">
        <v>296</v>
      </c>
      <c r="C303" s="43">
        <v>34</v>
      </c>
      <c r="D303" s="43" t="s">
        <v>124</v>
      </c>
      <c r="E303" s="44">
        <v>37.799999999999997</v>
      </c>
      <c r="F303" s="43" t="s">
        <v>128</v>
      </c>
      <c r="G303" s="43">
        <v>2</v>
      </c>
      <c r="H303" s="43" t="s">
        <v>63</v>
      </c>
      <c r="I303" s="43" t="s">
        <v>30</v>
      </c>
      <c r="J303" s="43" t="s">
        <v>40</v>
      </c>
      <c r="K303" s="43" t="s">
        <v>920</v>
      </c>
      <c r="L303" s="44">
        <v>5965.98</v>
      </c>
      <c r="M303" s="44">
        <v>4030.12</v>
      </c>
      <c r="N303" s="43"/>
      <c r="O303" s="46" t="s">
        <v>17</v>
      </c>
    </row>
    <row r="304" spans="1:15" ht="15.75" customHeight="1" x14ac:dyDescent="0.3">
      <c r="A304" s="40" t="s">
        <v>921</v>
      </c>
      <c r="B304" s="40" t="s">
        <v>149</v>
      </c>
      <c r="C304" s="40">
        <v>46</v>
      </c>
      <c r="D304" s="40" t="s">
        <v>120</v>
      </c>
      <c r="E304" s="41">
        <v>37.6</v>
      </c>
      <c r="F304" s="40" t="s">
        <v>128</v>
      </c>
      <c r="G304" s="40">
        <v>4</v>
      </c>
      <c r="H304" s="40" t="s">
        <v>65</v>
      </c>
      <c r="I304" s="40" t="s">
        <v>28</v>
      </c>
      <c r="J304" s="40" t="s">
        <v>49</v>
      </c>
      <c r="K304" s="40" t="s">
        <v>320</v>
      </c>
      <c r="L304" s="41">
        <v>57056.44</v>
      </c>
      <c r="M304" s="41">
        <v>52751.56</v>
      </c>
      <c r="N304" s="40" t="s">
        <v>73</v>
      </c>
      <c r="O304" s="45" t="s">
        <v>18</v>
      </c>
    </row>
    <row r="305" spans="1:15" ht="15.75" customHeight="1" x14ac:dyDescent="0.3">
      <c r="A305" s="43" t="s">
        <v>922</v>
      </c>
      <c r="B305" s="43" t="s">
        <v>923</v>
      </c>
      <c r="C305" s="43">
        <v>31</v>
      </c>
      <c r="D305" s="43" t="s">
        <v>120</v>
      </c>
      <c r="E305" s="44">
        <v>35.799999999999997</v>
      </c>
      <c r="F305" s="43" t="s">
        <v>128</v>
      </c>
      <c r="G305" s="43">
        <v>2</v>
      </c>
      <c r="H305" s="43" t="s">
        <v>59</v>
      </c>
      <c r="I305" s="43" t="s">
        <v>28</v>
      </c>
      <c r="J305" s="43" t="s">
        <v>47</v>
      </c>
      <c r="K305" s="43" t="s">
        <v>887</v>
      </c>
      <c r="L305" s="44">
        <v>60656.21</v>
      </c>
      <c r="M305" s="44">
        <v>38421.050000000003</v>
      </c>
      <c r="N305" s="43"/>
      <c r="O305" s="45" t="s">
        <v>18</v>
      </c>
    </row>
    <row r="306" spans="1:15" ht="15.75" customHeight="1" x14ac:dyDescent="0.3">
      <c r="A306" s="40" t="s">
        <v>924</v>
      </c>
      <c r="B306" s="40" t="s">
        <v>925</v>
      </c>
      <c r="C306" s="40">
        <v>38</v>
      </c>
      <c r="D306" s="40" t="s">
        <v>120</v>
      </c>
      <c r="E306" s="41">
        <v>35.6</v>
      </c>
      <c r="F306" s="40" t="s">
        <v>128</v>
      </c>
      <c r="G306" s="40">
        <v>4</v>
      </c>
      <c r="H306" s="40" t="s">
        <v>65</v>
      </c>
      <c r="I306" s="40" t="s">
        <v>31</v>
      </c>
      <c r="J306" s="40" t="s">
        <v>44</v>
      </c>
      <c r="K306" s="40" t="s">
        <v>300</v>
      </c>
      <c r="L306" s="41"/>
      <c r="M306" s="41">
        <v>67199.960000000006</v>
      </c>
      <c r="N306" s="40" t="s">
        <v>73</v>
      </c>
      <c r="O306" s="46" t="s">
        <v>17</v>
      </c>
    </row>
    <row r="307" spans="1:15" ht="15.75" customHeight="1" x14ac:dyDescent="0.3">
      <c r="A307" s="43" t="s">
        <v>926</v>
      </c>
      <c r="B307" s="43" t="s">
        <v>721</v>
      </c>
      <c r="C307" s="43">
        <v>62</v>
      </c>
      <c r="D307" s="43" t="s">
        <v>115</v>
      </c>
      <c r="E307" s="44">
        <v>48.1</v>
      </c>
      <c r="F307" s="43" t="s">
        <v>128</v>
      </c>
      <c r="G307" s="43">
        <v>0</v>
      </c>
      <c r="H307" s="43" t="s">
        <v>59</v>
      </c>
      <c r="I307" s="43" t="s">
        <v>28</v>
      </c>
      <c r="J307" s="43" t="s">
        <v>46</v>
      </c>
      <c r="K307" s="43" t="s">
        <v>927</v>
      </c>
      <c r="L307" s="44">
        <v>13587.36</v>
      </c>
      <c r="M307" s="44">
        <v>12185.02</v>
      </c>
      <c r="N307" s="43"/>
      <c r="O307" s="42" t="s">
        <v>16</v>
      </c>
    </row>
    <row r="308" spans="1:15" ht="15.75" customHeight="1" x14ac:dyDescent="0.3">
      <c r="A308" s="40" t="s">
        <v>928</v>
      </c>
      <c r="B308" s="40" t="s">
        <v>417</v>
      </c>
      <c r="C308" s="40">
        <v>52</v>
      </c>
      <c r="D308" s="40" t="s">
        <v>124</v>
      </c>
      <c r="E308" s="41">
        <v>34.9</v>
      </c>
      <c r="F308" s="40" t="s">
        <v>116</v>
      </c>
      <c r="G308" s="40">
        <v>2</v>
      </c>
      <c r="H308" s="40" t="s">
        <v>65</v>
      </c>
      <c r="I308" s="40" t="s">
        <v>30</v>
      </c>
      <c r="J308" s="40" t="s">
        <v>49</v>
      </c>
      <c r="K308" s="40" t="s">
        <v>929</v>
      </c>
      <c r="L308" s="41">
        <v>1342.55</v>
      </c>
      <c r="M308" s="41">
        <v>846.93</v>
      </c>
      <c r="N308" s="40" t="s">
        <v>75</v>
      </c>
      <c r="O308" s="42" t="s">
        <v>16</v>
      </c>
    </row>
    <row r="309" spans="1:15" ht="15.75" customHeight="1" x14ac:dyDescent="0.3">
      <c r="A309" s="43" t="s">
        <v>930</v>
      </c>
      <c r="B309" s="43" t="s">
        <v>149</v>
      </c>
      <c r="C309" s="43">
        <v>50</v>
      </c>
      <c r="D309" s="43" t="s">
        <v>124</v>
      </c>
      <c r="E309" s="44">
        <v>33.299999999999997</v>
      </c>
      <c r="F309" s="43" t="s">
        <v>116</v>
      </c>
      <c r="G309" s="43">
        <v>0</v>
      </c>
      <c r="H309" s="43" t="s">
        <v>61</v>
      </c>
      <c r="I309" s="43" t="s">
        <v>28</v>
      </c>
      <c r="J309" s="43" t="s">
        <v>42</v>
      </c>
      <c r="K309" s="43" t="s">
        <v>931</v>
      </c>
      <c r="L309" s="44">
        <v>73551.33</v>
      </c>
      <c r="M309" s="44">
        <v>41995.37</v>
      </c>
      <c r="N309" s="43"/>
      <c r="O309" s="46" t="s">
        <v>17</v>
      </c>
    </row>
    <row r="310" spans="1:15" ht="15.75" customHeight="1" x14ac:dyDescent="0.3">
      <c r="A310" s="40" t="s">
        <v>932</v>
      </c>
      <c r="B310" s="40" t="s">
        <v>546</v>
      </c>
      <c r="C310" s="40">
        <v>83</v>
      </c>
      <c r="D310" s="40" t="s">
        <v>124</v>
      </c>
      <c r="E310" s="41">
        <v>18.899999999999999</v>
      </c>
      <c r="F310" s="40" t="s">
        <v>128</v>
      </c>
      <c r="G310" s="40">
        <v>3</v>
      </c>
      <c r="H310" s="40" t="s">
        <v>63</v>
      </c>
      <c r="I310" s="40" t="s">
        <v>32</v>
      </c>
      <c r="J310" s="40" t="s">
        <v>44</v>
      </c>
      <c r="K310" s="40" t="s">
        <v>933</v>
      </c>
      <c r="L310" s="41">
        <v>109144.54</v>
      </c>
      <c r="M310" s="41">
        <v>66719.3</v>
      </c>
      <c r="N310" s="40"/>
      <c r="O310" s="45" t="s">
        <v>18</v>
      </c>
    </row>
    <row r="311" spans="1:15" ht="15.75" customHeight="1" x14ac:dyDescent="0.3">
      <c r="A311" s="43" t="s">
        <v>934</v>
      </c>
      <c r="B311" s="43" t="s">
        <v>935</v>
      </c>
      <c r="C311" s="43">
        <v>69</v>
      </c>
      <c r="D311" s="43" t="s">
        <v>115</v>
      </c>
      <c r="E311" s="44">
        <v>33.200000000000003</v>
      </c>
      <c r="F311" s="43" t="s">
        <v>128</v>
      </c>
      <c r="G311" s="43">
        <v>3</v>
      </c>
      <c r="H311" s="43" t="s">
        <v>61</v>
      </c>
      <c r="I311" s="43" t="s">
        <v>29</v>
      </c>
      <c r="J311" s="43" t="s">
        <v>46</v>
      </c>
      <c r="K311" s="43" t="s">
        <v>936</v>
      </c>
      <c r="L311" s="44">
        <v>31101.38</v>
      </c>
      <c r="M311" s="44">
        <v>27968.59</v>
      </c>
      <c r="N311" s="43" t="s">
        <v>74</v>
      </c>
      <c r="O311" s="46" t="s">
        <v>17</v>
      </c>
    </row>
    <row r="312" spans="1:15" ht="15.75" customHeight="1" x14ac:dyDescent="0.3">
      <c r="A312" s="40" t="s">
        <v>937</v>
      </c>
      <c r="B312" s="40" t="s">
        <v>938</v>
      </c>
      <c r="C312" s="40">
        <v>43</v>
      </c>
      <c r="D312" s="40" t="s">
        <v>115</v>
      </c>
      <c r="E312" s="41">
        <v>35.200000000000003</v>
      </c>
      <c r="F312" s="40" t="s">
        <v>128</v>
      </c>
      <c r="G312" s="40">
        <v>0</v>
      </c>
      <c r="H312" s="40" t="s">
        <v>63</v>
      </c>
      <c r="I312" s="40" t="s">
        <v>31</v>
      </c>
      <c r="J312" s="40" t="s">
        <v>47</v>
      </c>
      <c r="K312" s="40" t="s">
        <v>262</v>
      </c>
      <c r="L312" s="41">
        <v>71338.31</v>
      </c>
      <c r="M312" s="41">
        <v>44403.5</v>
      </c>
      <c r="N312" s="40"/>
      <c r="O312" s="42" t="s">
        <v>16</v>
      </c>
    </row>
    <row r="313" spans="1:15" ht="15.75" customHeight="1" x14ac:dyDescent="0.3">
      <c r="A313" s="43" t="s">
        <v>939</v>
      </c>
      <c r="B313" s="43" t="s">
        <v>194</v>
      </c>
      <c r="C313" s="43">
        <v>32</v>
      </c>
      <c r="D313" s="43" t="s">
        <v>124</v>
      </c>
      <c r="E313" s="44">
        <v>27.5</v>
      </c>
      <c r="F313" s="43" t="s">
        <v>116</v>
      </c>
      <c r="G313" s="43">
        <v>1</v>
      </c>
      <c r="H313" s="43" t="s">
        <v>61</v>
      </c>
      <c r="I313" s="43" t="s">
        <v>31</v>
      </c>
      <c r="J313" s="43" t="s">
        <v>44</v>
      </c>
      <c r="K313" s="43" t="s">
        <v>940</v>
      </c>
      <c r="L313" s="44">
        <v>17885.419999999998</v>
      </c>
      <c r="M313" s="44">
        <v>11729.98</v>
      </c>
      <c r="N313" s="43"/>
      <c r="O313" s="45" t="s">
        <v>18</v>
      </c>
    </row>
    <row r="314" spans="1:15" ht="15.75" customHeight="1" x14ac:dyDescent="0.3">
      <c r="A314" s="40" t="s">
        <v>941</v>
      </c>
      <c r="B314" s="40" t="s">
        <v>942</v>
      </c>
      <c r="C314" s="40">
        <v>36</v>
      </c>
      <c r="D314" s="40" t="s">
        <v>124</v>
      </c>
      <c r="E314" s="41">
        <v>35.299999999999997</v>
      </c>
      <c r="F314" s="40" t="s">
        <v>116</v>
      </c>
      <c r="G314" s="40">
        <v>1</v>
      </c>
      <c r="H314" s="40" t="s">
        <v>57</v>
      </c>
      <c r="I314" s="40" t="s">
        <v>32</v>
      </c>
      <c r="J314" s="40" t="s">
        <v>47</v>
      </c>
      <c r="K314" s="40" t="s">
        <v>943</v>
      </c>
      <c r="L314" s="41">
        <v>40040.53</v>
      </c>
      <c r="M314" s="41">
        <v>22510.06</v>
      </c>
      <c r="N314" s="40"/>
      <c r="O314" s="46" t="s">
        <v>17</v>
      </c>
    </row>
    <row r="315" spans="1:15" ht="15.75" customHeight="1" x14ac:dyDescent="0.3">
      <c r="A315" s="43" t="s">
        <v>944</v>
      </c>
      <c r="B315" s="43" t="s">
        <v>945</v>
      </c>
      <c r="C315" s="43">
        <v>24</v>
      </c>
      <c r="D315" s="43" t="s">
        <v>124</v>
      </c>
      <c r="E315" s="44">
        <v>42.9</v>
      </c>
      <c r="F315" s="43" t="s">
        <v>116</v>
      </c>
      <c r="G315" s="43">
        <v>2</v>
      </c>
      <c r="H315" s="43" t="s">
        <v>63</v>
      </c>
      <c r="I315" s="43" t="s">
        <v>29</v>
      </c>
      <c r="J315" s="43" t="s">
        <v>44</v>
      </c>
      <c r="K315" s="43" t="s">
        <v>689</v>
      </c>
      <c r="L315" s="44">
        <v>14506.66</v>
      </c>
      <c r="M315" s="44">
        <v>12334.64</v>
      </c>
      <c r="N315" s="43"/>
      <c r="O315" s="42" t="s">
        <v>16</v>
      </c>
    </row>
    <row r="316" spans="1:15" ht="15.75" customHeight="1" x14ac:dyDescent="0.3">
      <c r="A316" s="40" t="s">
        <v>946</v>
      </c>
      <c r="B316" s="40" t="s">
        <v>676</v>
      </c>
      <c r="C316" s="40">
        <v>20</v>
      </c>
      <c r="D316" s="40" t="s">
        <v>115</v>
      </c>
      <c r="E316" s="41">
        <v>41</v>
      </c>
      <c r="F316" s="40" t="s">
        <v>128</v>
      </c>
      <c r="G316" s="40">
        <v>2</v>
      </c>
      <c r="H316" s="40" t="s">
        <v>57</v>
      </c>
      <c r="I316" s="40" t="s">
        <v>32</v>
      </c>
      <c r="J316" s="40" t="s">
        <v>48</v>
      </c>
      <c r="K316" s="40" t="s">
        <v>947</v>
      </c>
      <c r="L316" s="41">
        <v>32145.99</v>
      </c>
      <c r="M316" s="41">
        <v>23660.98</v>
      </c>
      <c r="N316" s="40"/>
      <c r="O316" s="42" t="s">
        <v>16</v>
      </c>
    </row>
    <row r="317" spans="1:15" ht="15.75" customHeight="1" x14ac:dyDescent="0.3">
      <c r="A317" s="43" t="s">
        <v>948</v>
      </c>
      <c r="B317" s="43" t="s">
        <v>949</v>
      </c>
      <c r="C317" s="43">
        <v>30</v>
      </c>
      <c r="D317" s="43" t="s">
        <v>120</v>
      </c>
      <c r="E317" s="44">
        <v>45.7</v>
      </c>
      <c r="F317" s="43" t="s">
        <v>116</v>
      </c>
      <c r="G317" s="43">
        <v>2</v>
      </c>
      <c r="H317" s="43" t="s">
        <v>65</v>
      </c>
      <c r="I317" s="43" t="s">
        <v>32</v>
      </c>
      <c r="J317" s="43" t="s">
        <v>42</v>
      </c>
      <c r="K317" s="43" t="s">
        <v>794</v>
      </c>
      <c r="L317" s="44">
        <v>79360.17</v>
      </c>
      <c r="M317" s="44">
        <v>69024.149999999994</v>
      </c>
      <c r="N317" s="43" t="s">
        <v>73</v>
      </c>
      <c r="O317" s="42" t="s">
        <v>16</v>
      </c>
    </row>
    <row r="318" spans="1:15" ht="15.75" customHeight="1" x14ac:dyDescent="0.3">
      <c r="A318" s="40" t="s">
        <v>950</v>
      </c>
      <c r="B318" s="40" t="s">
        <v>182</v>
      </c>
      <c r="C318" s="40">
        <v>20</v>
      </c>
      <c r="D318" s="40" t="s">
        <v>115</v>
      </c>
      <c r="E318" s="41">
        <v>37.299999999999997</v>
      </c>
      <c r="F318" s="40" t="s">
        <v>128</v>
      </c>
      <c r="G318" s="40">
        <v>1</v>
      </c>
      <c r="H318" s="40" t="s">
        <v>57</v>
      </c>
      <c r="I318" s="40" t="s">
        <v>31</v>
      </c>
      <c r="J318" s="40" t="s">
        <v>46</v>
      </c>
      <c r="K318" s="40" t="s">
        <v>951</v>
      </c>
      <c r="L318" s="41">
        <v>21582.240000000002</v>
      </c>
      <c r="M318" s="41">
        <v>14501.12</v>
      </c>
      <c r="N318" s="40" t="s">
        <v>74</v>
      </c>
      <c r="O318" s="46" t="s">
        <v>17</v>
      </c>
    </row>
    <row r="319" spans="1:15" ht="15.75" customHeight="1" x14ac:dyDescent="0.3">
      <c r="A319" s="43" t="s">
        <v>952</v>
      </c>
      <c r="B319" s="43" t="s">
        <v>568</v>
      </c>
      <c r="C319" s="43">
        <v>70</v>
      </c>
      <c r="D319" s="43" t="s">
        <v>115</v>
      </c>
      <c r="E319" s="44">
        <v>18</v>
      </c>
      <c r="F319" s="43" t="s">
        <v>116</v>
      </c>
      <c r="G319" s="43">
        <v>4</v>
      </c>
      <c r="H319" s="43" t="s">
        <v>57</v>
      </c>
      <c r="I319" s="43" t="s">
        <v>29</v>
      </c>
      <c r="J319" s="43" t="s">
        <v>49</v>
      </c>
      <c r="K319" s="43" t="s">
        <v>953</v>
      </c>
      <c r="L319" s="44">
        <v>85390.83</v>
      </c>
      <c r="M319" s="44">
        <v>80310.91</v>
      </c>
      <c r="N319" s="43"/>
      <c r="O319" s="45" t="s">
        <v>18</v>
      </c>
    </row>
    <row r="320" spans="1:15" ht="15.75" customHeight="1" x14ac:dyDescent="0.3">
      <c r="A320" s="40" t="s">
        <v>954</v>
      </c>
      <c r="B320" s="40" t="s">
        <v>212</v>
      </c>
      <c r="C320" s="40">
        <v>51</v>
      </c>
      <c r="D320" s="40" t="s">
        <v>124</v>
      </c>
      <c r="E320" s="41">
        <v>36</v>
      </c>
      <c r="F320" s="40" t="s">
        <v>128</v>
      </c>
      <c r="G320" s="40">
        <v>1</v>
      </c>
      <c r="H320" s="40" t="s">
        <v>57</v>
      </c>
      <c r="I320" s="40" t="s">
        <v>28</v>
      </c>
      <c r="J320" s="40" t="s">
        <v>46</v>
      </c>
      <c r="K320" s="40" t="s">
        <v>955</v>
      </c>
      <c r="L320" s="41">
        <v>39181.26</v>
      </c>
      <c r="M320" s="41">
        <v>28289.27</v>
      </c>
      <c r="N320" s="40"/>
      <c r="O320" s="42" t="s">
        <v>16</v>
      </c>
    </row>
    <row r="321" spans="1:15" ht="15.75" customHeight="1" x14ac:dyDescent="0.3">
      <c r="A321" s="43" t="s">
        <v>956</v>
      </c>
      <c r="B321" s="43" t="s">
        <v>957</v>
      </c>
      <c r="C321" s="43">
        <v>55</v>
      </c>
      <c r="D321" s="43" t="s">
        <v>124</v>
      </c>
      <c r="E321" s="44">
        <v>21.5</v>
      </c>
      <c r="F321" s="43" t="s">
        <v>116</v>
      </c>
      <c r="G321" s="43">
        <v>2</v>
      </c>
      <c r="H321" s="43" t="s">
        <v>59</v>
      </c>
      <c r="I321" s="43" t="s">
        <v>31</v>
      </c>
      <c r="J321" s="43" t="s">
        <v>42</v>
      </c>
      <c r="K321" s="43" t="s">
        <v>958</v>
      </c>
      <c r="L321" s="44">
        <v>99421.34</v>
      </c>
      <c r="M321" s="44">
        <v>78891.58</v>
      </c>
      <c r="N321" s="43" t="s">
        <v>73</v>
      </c>
      <c r="O321" s="45" t="s">
        <v>18</v>
      </c>
    </row>
    <row r="322" spans="1:15" ht="15.75" customHeight="1" x14ac:dyDescent="0.3">
      <c r="A322" s="40" t="s">
        <v>959</v>
      </c>
      <c r="B322" s="40" t="s">
        <v>146</v>
      </c>
      <c r="C322" s="40">
        <v>58</v>
      </c>
      <c r="D322" s="40" t="s">
        <v>120</v>
      </c>
      <c r="E322" s="41">
        <v>30.8</v>
      </c>
      <c r="F322" s="40" t="s">
        <v>128</v>
      </c>
      <c r="G322" s="40">
        <v>1</v>
      </c>
      <c r="H322" s="40" t="s">
        <v>59</v>
      </c>
      <c r="I322" s="40" t="s">
        <v>28</v>
      </c>
      <c r="J322" s="40" t="s">
        <v>49</v>
      </c>
      <c r="K322" s="40" t="s">
        <v>960</v>
      </c>
      <c r="L322" s="41">
        <v>48142.81</v>
      </c>
      <c r="M322" s="41">
        <v>35584.17</v>
      </c>
      <c r="N322" s="40"/>
      <c r="O322" s="42" t="s">
        <v>16</v>
      </c>
    </row>
    <row r="323" spans="1:15" ht="15.75" customHeight="1" x14ac:dyDescent="0.3">
      <c r="A323" s="43" t="s">
        <v>961</v>
      </c>
      <c r="B323" s="43" t="s">
        <v>962</v>
      </c>
      <c r="C323" s="43">
        <v>43</v>
      </c>
      <c r="D323" s="43" t="s">
        <v>124</v>
      </c>
      <c r="E323" s="44">
        <v>46.4</v>
      </c>
      <c r="F323" s="43" t="s">
        <v>116</v>
      </c>
      <c r="G323" s="43">
        <v>1</v>
      </c>
      <c r="H323" s="43" t="s">
        <v>57</v>
      </c>
      <c r="I323" s="43" t="s">
        <v>31</v>
      </c>
      <c r="J323" s="43" t="s">
        <v>44</v>
      </c>
      <c r="K323" s="43" t="s">
        <v>561</v>
      </c>
      <c r="L323" s="44">
        <v>82520.87</v>
      </c>
      <c r="M323" s="44">
        <v>42916.06</v>
      </c>
      <c r="N323" s="43"/>
      <c r="O323" s="42" t="s">
        <v>16</v>
      </c>
    </row>
    <row r="324" spans="1:15" ht="15.75" customHeight="1" x14ac:dyDescent="0.3">
      <c r="A324" s="40" t="s">
        <v>963</v>
      </c>
      <c r="B324" s="40" t="s">
        <v>964</v>
      </c>
      <c r="C324" s="40">
        <v>73</v>
      </c>
      <c r="D324" s="40" t="s">
        <v>124</v>
      </c>
      <c r="E324" s="41"/>
      <c r="F324" s="40" t="s">
        <v>128</v>
      </c>
      <c r="G324" s="40">
        <v>3</v>
      </c>
      <c r="H324" s="40" t="s">
        <v>65</v>
      </c>
      <c r="I324" s="40" t="s">
        <v>31</v>
      </c>
      <c r="J324" s="40" t="s">
        <v>49</v>
      </c>
      <c r="K324" s="40" t="s">
        <v>965</v>
      </c>
      <c r="L324" s="41">
        <v>59614.32</v>
      </c>
      <c r="M324" s="41">
        <v>33468.269999999997</v>
      </c>
      <c r="N324" s="40"/>
      <c r="O324" s="46" t="s">
        <v>17</v>
      </c>
    </row>
    <row r="325" spans="1:15" ht="15.75" customHeight="1" x14ac:dyDescent="0.3">
      <c r="A325" s="43" t="s">
        <v>966</v>
      </c>
      <c r="B325" s="43" t="s">
        <v>967</v>
      </c>
      <c r="C325" s="43">
        <v>23</v>
      </c>
      <c r="D325" s="43" t="s">
        <v>120</v>
      </c>
      <c r="E325" s="44">
        <v>41.8</v>
      </c>
      <c r="F325" s="43" t="s">
        <v>116</v>
      </c>
      <c r="G325" s="43">
        <v>0</v>
      </c>
      <c r="H325" s="43" t="s">
        <v>61</v>
      </c>
      <c r="I325" s="43" t="s">
        <v>28</v>
      </c>
      <c r="J325" s="43" t="s">
        <v>48</v>
      </c>
      <c r="K325" s="43" t="s">
        <v>968</v>
      </c>
      <c r="L325" s="44">
        <v>48420.95</v>
      </c>
      <c r="M325" s="44">
        <v>33850.019999999997</v>
      </c>
      <c r="N325" s="43"/>
      <c r="O325" s="46" t="s">
        <v>17</v>
      </c>
    </row>
    <row r="326" spans="1:15" ht="15.75" customHeight="1" x14ac:dyDescent="0.3">
      <c r="A326" s="40" t="s">
        <v>969</v>
      </c>
      <c r="B326" s="40" t="s">
        <v>970</v>
      </c>
      <c r="C326" s="40">
        <v>40</v>
      </c>
      <c r="D326" s="40" t="s">
        <v>124</v>
      </c>
      <c r="E326" s="41">
        <v>27.3</v>
      </c>
      <c r="F326" s="40" t="s">
        <v>116</v>
      </c>
      <c r="G326" s="40">
        <v>0</v>
      </c>
      <c r="H326" s="40" t="s">
        <v>59</v>
      </c>
      <c r="I326" s="40" t="s">
        <v>29</v>
      </c>
      <c r="J326" s="40" t="s">
        <v>50</v>
      </c>
      <c r="K326" s="40" t="s">
        <v>971</v>
      </c>
      <c r="L326" s="41">
        <v>10429.950000000001</v>
      </c>
      <c r="M326" s="41">
        <v>5307.26</v>
      </c>
      <c r="N326" s="40" t="s">
        <v>73</v>
      </c>
      <c r="O326" s="42" t="s">
        <v>16</v>
      </c>
    </row>
    <row r="327" spans="1:15" ht="15.75" customHeight="1" x14ac:dyDescent="0.3">
      <c r="A327" s="43" t="s">
        <v>972</v>
      </c>
      <c r="B327" s="43" t="s">
        <v>724</v>
      </c>
      <c r="C327" s="43">
        <v>54</v>
      </c>
      <c r="D327" s="43" t="s">
        <v>120</v>
      </c>
      <c r="E327" s="44">
        <v>41.2</v>
      </c>
      <c r="F327" s="43" t="s">
        <v>116</v>
      </c>
      <c r="G327" s="43">
        <v>3</v>
      </c>
      <c r="H327" s="43" t="s">
        <v>59</v>
      </c>
      <c r="I327" s="43" t="s">
        <v>31</v>
      </c>
      <c r="J327" s="43" t="s">
        <v>42</v>
      </c>
      <c r="K327" s="43" t="s">
        <v>973</v>
      </c>
      <c r="L327" s="44">
        <v>30271.68</v>
      </c>
      <c r="M327" s="44">
        <v>30012.83</v>
      </c>
      <c r="N327" s="43" t="s">
        <v>74</v>
      </c>
      <c r="O327" s="42" t="s">
        <v>16</v>
      </c>
    </row>
    <row r="328" spans="1:15" ht="15.75" customHeight="1" x14ac:dyDescent="0.3">
      <c r="A328" s="40" t="s">
        <v>974</v>
      </c>
      <c r="B328" s="40" t="s">
        <v>573</v>
      </c>
      <c r="C328" s="40">
        <v>62</v>
      </c>
      <c r="D328" s="40" t="s">
        <v>120</v>
      </c>
      <c r="E328" s="41">
        <v>21.5</v>
      </c>
      <c r="F328" s="40" t="s">
        <v>128</v>
      </c>
      <c r="G328" s="40">
        <v>1</v>
      </c>
      <c r="H328" s="40" t="s">
        <v>63</v>
      </c>
      <c r="I328" s="40" t="s">
        <v>31</v>
      </c>
      <c r="J328" s="40" t="s">
        <v>40</v>
      </c>
      <c r="K328" s="40" t="s">
        <v>975</v>
      </c>
      <c r="L328" s="41">
        <v>80700.31</v>
      </c>
      <c r="M328" s="41">
        <v>69058.27</v>
      </c>
      <c r="N328" s="40"/>
      <c r="O328" s="42" t="s">
        <v>16</v>
      </c>
    </row>
    <row r="329" spans="1:15" ht="15.75" customHeight="1" x14ac:dyDescent="0.3">
      <c r="A329" s="43" t="s">
        <v>976</v>
      </c>
      <c r="B329" s="43" t="s">
        <v>977</v>
      </c>
      <c r="C329" s="43">
        <v>55</v>
      </c>
      <c r="D329" s="43" t="s">
        <v>115</v>
      </c>
      <c r="E329" s="44">
        <v>18.5</v>
      </c>
      <c r="F329" s="43" t="s">
        <v>128</v>
      </c>
      <c r="G329" s="43">
        <v>4</v>
      </c>
      <c r="H329" s="43" t="s">
        <v>63</v>
      </c>
      <c r="I329" s="43" t="s">
        <v>29</v>
      </c>
      <c r="J329" s="43" t="s">
        <v>40</v>
      </c>
      <c r="K329" s="43" t="s">
        <v>503</v>
      </c>
      <c r="L329" s="44">
        <v>58107.37</v>
      </c>
      <c r="M329" s="44">
        <v>49752.27</v>
      </c>
      <c r="N329" s="43"/>
      <c r="O329" s="45" t="s">
        <v>18</v>
      </c>
    </row>
    <row r="330" spans="1:15" ht="15.75" customHeight="1" x14ac:dyDescent="0.3">
      <c r="A330" s="40" t="s">
        <v>978</v>
      </c>
      <c r="B330" s="40" t="s">
        <v>331</v>
      </c>
      <c r="C330" s="40">
        <v>18</v>
      </c>
      <c r="D330" s="40" t="s">
        <v>124</v>
      </c>
      <c r="E330" s="41">
        <v>42.5</v>
      </c>
      <c r="F330" s="40" t="s">
        <v>116</v>
      </c>
      <c r="G330" s="40">
        <v>3</v>
      </c>
      <c r="H330" s="40" t="s">
        <v>59</v>
      </c>
      <c r="I330" s="40" t="s">
        <v>31</v>
      </c>
      <c r="J330" s="40" t="s">
        <v>42</v>
      </c>
      <c r="K330" s="40" t="s">
        <v>979</v>
      </c>
      <c r="L330" s="41">
        <v>107545.5</v>
      </c>
      <c r="M330" s="41">
        <v>57164.51</v>
      </c>
      <c r="N330" s="40" t="s">
        <v>75</v>
      </c>
      <c r="O330" s="42" t="s">
        <v>16</v>
      </c>
    </row>
    <row r="331" spans="1:15" ht="15.75" customHeight="1" x14ac:dyDescent="0.3">
      <c r="A331" s="43" t="s">
        <v>980</v>
      </c>
      <c r="B331" s="43" t="s">
        <v>981</v>
      </c>
      <c r="C331" s="43">
        <v>34</v>
      </c>
      <c r="D331" s="43" t="s">
        <v>120</v>
      </c>
      <c r="E331" s="44"/>
      <c r="F331" s="43" t="s">
        <v>128</v>
      </c>
      <c r="G331" s="43">
        <v>1</v>
      </c>
      <c r="H331" s="43" t="s">
        <v>57</v>
      </c>
      <c r="I331" s="43" t="s">
        <v>31</v>
      </c>
      <c r="J331" s="43" t="s">
        <v>50</v>
      </c>
      <c r="K331" s="43" t="s">
        <v>982</v>
      </c>
      <c r="L331" s="44">
        <v>89930.880000000005</v>
      </c>
      <c r="M331" s="44">
        <v>78329.3</v>
      </c>
      <c r="N331" s="43" t="s">
        <v>74</v>
      </c>
      <c r="O331" s="42" t="s">
        <v>16</v>
      </c>
    </row>
    <row r="332" spans="1:15" ht="15.75" customHeight="1" x14ac:dyDescent="0.3">
      <c r="A332" s="40" t="s">
        <v>983</v>
      </c>
      <c r="B332" s="40" t="s">
        <v>984</v>
      </c>
      <c r="C332" s="40">
        <v>21</v>
      </c>
      <c r="D332" s="40" t="s">
        <v>115</v>
      </c>
      <c r="E332" s="41">
        <v>48</v>
      </c>
      <c r="F332" s="40" t="s">
        <v>128</v>
      </c>
      <c r="G332" s="40">
        <v>2</v>
      </c>
      <c r="H332" s="40" t="s">
        <v>57</v>
      </c>
      <c r="I332" s="40" t="s">
        <v>31</v>
      </c>
      <c r="J332" s="40" t="s">
        <v>42</v>
      </c>
      <c r="K332" s="40" t="s">
        <v>985</v>
      </c>
      <c r="L332" s="41">
        <v>2601.42</v>
      </c>
      <c r="M332" s="41">
        <v>1759.96</v>
      </c>
      <c r="N332" s="40"/>
      <c r="O332" s="46" t="s">
        <v>17</v>
      </c>
    </row>
    <row r="333" spans="1:15" ht="15.75" customHeight="1" x14ac:dyDescent="0.3">
      <c r="A333" s="43" t="s">
        <v>986</v>
      </c>
      <c r="B333" s="43" t="s">
        <v>987</v>
      </c>
      <c r="C333" s="43">
        <v>28</v>
      </c>
      <c r="D333" s="43" t="s">
        <v>120</v>
      </c>
      <c r="E333" s="44">
        <v>28.1</v>
      </c>
      <c r="F333" s="43" t="s">
        <v>116</v>
      </c>
      <c r="G333" s="43">
        <v>1</v>
      </c>
      <c r="H333" s="43" t="s">
        <v>57</v>
      </c>
      <c r="I333" s="43" t="s">
        <v>29</v>
      </c>
      <c r="J333" s="43" t="s">
        <v>42</v>
      </c>
      <c r="K333" s="43" t="s">
        <v>988</v>
      </c>
      <c r="L333" s="44">
        <v>74148.759999999995</v>
      </c>
      <c r="M333" s="44">
        <v>61179.69</v>
      </c>
      <c r="N333" s="43" t="s">
        <v>73</v>
      </c>
      <c r="O333" s="42" t="s">
        <v>16</v>
      </c>
    </row>
    <row r="334" spans="1:15" ht="15.75" customHeight="1" x14ac:dyDescent="0.3">
      <c r="A334" s="40" t="s">
        <v>989</v>
      </c>
      <c r="B334" s="40" t="s">
        <v>790</v>
      </c>
      <c r="C334" s="40">
        <v>73</v>
      </c>
      <c r="D334" s="40" t="s">
        <v>124</v>
      </c>
      <c r="E334" s="41">
        <v>31.1</v>
      </c>
      <c r="F334" s="40" t="s">
        <v>116</v>
      </c>
      <c r="G334" s="40">
        <v>2</v>
      </c>
      <c r="H334" s="40" t="s">
        <v>59</v>
      </c>
      <c r="I334" s="40" t="s">
        <v>32</v>
      </c>
      <c r="J334" s="40" t="s">
        <v>50</v>
      </c>
      <c r="K334" s="40" t="s">
        <v>990</v>
      </c>
      <c r="L334" s="41">
        <v>2056.02</v>
      </c>
      <c r="M334" s="41">
        <v>1576.49</v>
      </c>
      <c r="N334" s="40" t="s">
        <v>73</v>
      </c>
      <c r="O334" s="42" t="s">
        <v>16</v>
      </c>
    </row>
    <row r="335" spans="1:15" ht="15.75" customHeight="1" x14ac:dyDescent="0.3">
      <c r="A335" s="43" t="s">
        <v>991</v>
      </c>
      <c r="B335" s="43" t="s">
        <v>967</v>
      </c>
      <c r="C335" s="43">
        <v>40</v>
      </c>
      <c r="D335" s="43" t="s">
        <v>124</v>
      </c>
      <c r="E335" s="44">
        <v>38.299999999999997</v>
      </c>
      <c r="F335" s="43" t="s">
        <v>116</v>
      </c>
      <c r="G335" s="43">
        <v>0</v>
      </c>
      <c r="H335" s="43" t="s">
        <v>61</v>
      </c>
      <c r="I335" s="43" t="s">
        <v>28</v>
      </c>
      <c r="J335" s="43" t="s">
        <v>42</v>
      </c>
      <c r="K335" s="43" t="s">
        <v>992</v>
      </c>
      <c r="L335" s="44">
        <v>114502.99</v>
      </c>
      <c r="M335" s="44">
        <v>79796.23</v>
      </c>
      <c r="N335" s="43"/>
      <c r="O335" s="42" t="s">
        <v>16</v>
      </c>
    </row>
    <row r="336" spans="1:15" ht="15.75" customHeight="1" x14ac:dyDescent="0.3">
      <c r="A336" s="40" t="s">
        <v>993</v>
      </c>
      <c r="B336" s="40" t="s">
        <v>994</v>
      </c>
      <c r="C336" s="40">
        <v>30</v>
      </c>
      <c r="D336" s="40" t="s">
        <v>124</v>
      </c>
      <c r="E336" s="41">
        <v>20.6</v>
      </c>
      <c r="F336" s="40" t="s">
        <v>128</v>
      </c>
      <c r="G336" s="40">
        <v>0</v>
      </c>
      <c r="H336" s="40" t="s">
        <v>59</v>
      </c>
      <c r="I336" s="40" t="s">
        <v>30</v>
      </c>
      <c r="J336" s="40" t="s">
        <v>50</v>
      </c>
      <c r="K336" s="40" t="s">
        <v>370</v>
      </c>
      <c r="L336" s="41">
        <v>59764.59</v>
      </c>
      <c r="M336" s="41">
        <v>59200.88</v>
      </c>
      <c r="N336" s="40" t="s">
        <v>74</v>
      </c>
      <c r="O336" s="42" t="s">
        <v>16</v>
      </c>
    </row>
    <row r="337" spans="1:15" ht="15.75" customHeight="1" x14ac:dyDescent="0.3">
      <c r="A337" s="43" t="s">
        <v>995</v>
      </c>
      <c r="B337" s="43" t="s">
        <v>996</v>
      </c>
      <c r="C337" s="43">
        <v>19</v>
      </c>
      <c r="D337" s="43" t="s">
        <v>124</v>
      </c>
      <c r="E337" s="44">
        <v>15.1</v>
      </c>
      <c r="F337" s="43" t="s">
        <v>128</v>
      </c>
      <c r="G337" s="43">
        <v>4</v>
      </c>
      <c r="H337" s="43" t="s">
        <v>65</v>
      </c>
      <c r="I337" s="43" t="s">
        <v>31</v>
      </c>
      <c r="J337" s="43" t="s">
        <v>40</v>
      </c>
      <c r="K337" s="43" t="s">
        <v>347</v>
      </c>
      <c r="L337" s="44">
        <v>66188.84</v>
      </c>
      <c r="M337" s="44">
        <v>59714.28</v>
      </c>
      <c r="N337" s="43"/>
      <c r="O337" s="42" t="s">
        <v>16</v>
      </c>
    </row>
    <row r="338" spans="1:15" ht="15.75" customHeight="1" x14ac:dyDescent="0.3">
      <c r="A338" s="40" t="s">
        <v>997</v>
      </c>
      <c r="B338" s="40" t="s">
        <v>747</v>
      </c>
      <c r="C338" s="40">
        <v>67</v>
      </c>
      <c r="D338" s="40" t="s">
        <v>120</v>
      </c>
      <c r="E338" s="41">
        <v>43.2</v>
      </c>
      <c r="F338" s="40" t="s">
        <v>128</v>
      </c>
      <c r="G338" s="40">
        <v>2</v>
      </c>
      <c r="H338" s="40" t="s">
        <v>63</v>
      </c>
      <c r="I338" s="40" t="s">
        <v>31</v>
      </c>
      <c r="J338" s="40" t="s">
        <v>47</v>
      </c>
      <c r="K338" s="40" t="s">
        <v>799</v>
      </c>
      <c r="L338" s="41">
        <v>39783.17</v>
      </c>
      <c r="M338" s="41">
        <v>28269.32</v>
      </c>
      <c r="N338" s="40" t="s">
        <v>73</v>
      </c>
      <c r="O338" s="42" t="s">
        <v>16</v>
      </c>
    </row>
    <row r="339" spans="1:15" ht="15.75" customHeight="1" x14ac:dyDescent="0.3">
      <c r="A339" s="43" t="s">
        <v>998</v>
      </c>
      <c r="B339" s="43" t="s">
        <v>287</v>
      </c>
      <c r="C339" s="43">
        <v>60</v>
      </c>
      <c r="D339" s="43" t="s">
        <v>120</v>
      </c>
      <c r="E339" s="44">
        <v>31.8</v>
      </c>
      <c r="F339" s="43" t="s">
        <v>116</v>
      </c>
      <c r="G339" s="43">
        <v>1</v>
      </c>
      <c r="H339" s="43" t="s">
        <v>59</v>
      </c>
      <c r="I339" s="43" t="s">
        <v>30</v>
      </c>
      <c r="J339" s="43" t="s">
        <v>46</v>
      </c>
      <c r="K339" s="43" t="s">
        <v>999</v>
      </c>
      <c r="L339" s="44">
        <v>39302.35</v>
      </c>
      <c r="M339" s="44">
        <v>37100.959999999999</v>
      </c>
      <c r="N339" s="43"/>
      <c r="O339" s="46" t="s">
        <v>17</v>
      </c>
    </row>
    <row r="340" spans="1:15" ht="15.75" customHeight="1" x14ac:dyDescent="0.3">
      <c r="A340" s="40" t="s">
        <v>1000</v>
      </c>
      <c r="B340" s="40" t="s">
        <v>1001</v>
      </c>
      <c r="C340" s="40">
        <v>72</v>
      </c>
      <c r="D340" s="40" t="s">
        <v>124</v>
      </c>
      <c r="E340" s="41">
        <v>48.3</v>
      </c>
      <c r="F340" s="40" t="s">
        <v>128</v>
      </c>
      <c r="G340" s="40">
        <v>3</v>
      </c>
      <c r="H340" s="40" t="s">
        <v>57</v>
      </c>
      <c r="I340" s="40" t="s">
        <v>31</v>
      </c>
      <c r="J340" s="40" t="s">
        <v>46</v>
      </c>
      <c r="K340" s="40" t="s">
        <v>454</v>
      </c>
      <c r="L340" s="41">
        <v>87147.92</v>
      </c>
      <c r="M340" s="41">
        <v>59965.279999999999</v>
      </c>
      <c r="N340" s="40"/>
      <c r="O340" s="42" t="s">
        <v>16</v>
      </c>
    </row>
    <row r="341" spans="1:15" ht="15.75" customHeight="1" x14ac:dyDescent="0.3">
      <c r="A341" s="43" t="s">
        <v>1002</v>
      </c>
      <c r="B341" s="43" t="s">
        <v>563</v>
      </c>
      <c r="C341" s="43">
        <v>72</v>
      </c>
      <c r="D341" s="43" t="s">
        <v>120</v>
      </c>
      <c r="E341" s="44">
        <v>18.8</v>
      </c>
      <c r="F341" s="43" t="s">
        <v>128</v>
      </c>
      <c r="G341" s="43">
        <v>3</v>
      </c>
      <c r="H341" s="43" t="s">
        <v>63</v>
      </c>
      <c r="I341" s="43" t="s">
        <v>31</v>
      </c>
      <c r="J341" s="43" t="s">
        <v>50</v>
      </c>
      <c r="K341" s="43" t="s">
        <v>1003</v>
      </c>
      <c r="L341" s="44">
        <v>52701.63</v>
      </c>
      <c r="M341" s="44">
        <v>30236.85</v>
      </c>
      <c r="N341" s="43"/>
      <c r="O341" s="42" t="s">
        <v>16</v>
      </c>
    </row>
    <row r="342" spans="1:15" ht="15.75" customHeight="1" x14ac:dyDescent="0.3">
      <c r="A342" s="40" t="s">
        <v>1004</v>
      </c>
      <c r="B342" s="40" t="s">
        <v>1005</v>
      </c>
      <c r="C342" s="40">
        <v>83</v>
      </c>
      <c r="D342" s="40" t="s">
        <v>120</v>
      </c>
      <c r="E342" s="41">
        <v>21.6</v>
      </c>
      <c r="F342" s="40" t="s">
        <v>128</v>
      </c>
      <c r="G342" s="40">
        <v>2</v>
      </c>
      <c r="H342" s="40" t="s">
        <v>65</v>
      </c>
      <c r="I342" s="40" t="s">
        <v>29</v>
      </c>
      <c r="J342" s="40" t="s">
        <v>42</v>
      </c>
      <c r="K342" s="40" t="s">
        <v>649</v>
      </c>
      <c r="L342" s="41">
        <v>10065.129999999999</v>
      </c>
      <c r="M342" s="41">
        <v>5914.96</v>
      </c>
      <c r="N342" s="40"/>
      <c r="O342" s="45" t="s">
        <v>18</v>
      </c>
    </row>
    <row r="343" spans="1:15" ht="15.75" customHeight="1" x14ac:dyDescent="0.3">
      <c r="A343" s="43" t="s">
        <v>1006</v>
      </c>
      <c r="B343" s="43" t="s">
        <v>230</v>
      </c>
      <c r="C343" s="43">
        <v>36</v>
      </c>
      <c r="D343" s="43" t="s">
        <v>124</v>
      </c>
      <c r="E343" s="44">
        <v>16.899999999999999</v>
      </c>
      <c r="F343" s="43" t="s">
        <v>116</v>
      </c>
      <c r="G343" s="43">
        <v>3</v>
      </c>
      <c r="H343" s="43" t="s">
        <v>57</v>
      </c>
      <c r="I343" s="43" t="s">
        <v>29</v>
      </c>
      <c r="J343" s="43" t="s">
        <v>47</v>
      </c>
      <c r="K343" s="43" t="s">
        <v>1007</v>
      </c>
      <c r="L343" s="44">
        <v>66043.78</v>
      </c>
      <c r="M343" s="44">
        <v>49456.35</v>
      </c>
      <c r="N343" s="43"/>
      <c r="O343" s="42" t="s">
        <v>16</v>
      </c>
    </row>
    <row r="344" spans="1:15" ht="15.75" customHeight="1" x14ac:dyDescent="0.3">
      <c r="A344" s="40" t="s">
        <v>1008</v>
      </c>
      <c r="B344" s="40" t="s">
        <v>1009</v>
      </c>
      <c r="C344" s="40">
        <v>31</v>
      </c>
      <c r="D344" s="40" t="s">
        <v>124</v>
      </c>
      <c r="E344" s="41">
        <v>48</v>
      </c>
      <c r="F344" s="40" t="s">
        <v>128</v>
      </c>
      <c r="G344" s="40">
        <v>1</v>
      </c>
      <c r="H344" s="40" t="s">
        <v>63</v>
      </c>
      <c r="I344" s="40" t="s">
        <v>28</v>
      </c>
      <c r="J344" s="40" t="s">
        <v>42</v>
      </c>
      <c r="K344" s="40" t="s">
        <v>1010</v>
      </c>
      <c r="L344" s="41">
        <v>8895.1200000000008</v>
      </c>
      <c r="M344" s="41">
        <v>5475.27</v>
      </c>
      <c r="N344" s="40"/>
      <c r="O344" s="42" t="s">
        <v>16</v>
      </c>
    </row>
    <row r="345" spans="1:15" ht="15.75" customHeight="1" x14ac:dyDescent="0.3">
      <c r="A345" s="43" t="s">
        <v>1011</v>
      </c>
      <c r="B345" s="43" t="s">
        <v>340</v>
      </c>
      <c r="C345" s="43">
        <v>32</v>
      </c>
      <c r="D345" s="43" t="s">
        <v>115</v>
      </c>
      <c r="E345" s="44">
        <v>43.8</v>
      </c>
      <c r="F345" s="43" t="s">
        <v>116</v>
      </c>
      <c r="G345" s="43">
        <v>2</v>
      </c>
      <c r="H345" s="43" t="s">
        <v>61</v>
      </c>
      <c r="I345" s="43" t="s">
        <v>32</v>
      </c>
      <c r="J345" s="43" t="s">
        <v>50</v>
      </c>
      <c r="K345" s="43" t="s">
        <v>1012</v>
      </c>
      <c r="L345" s="44">
        <v>80582.75</v>
      </c>
      <c r="M345" s="44">
        <v>52199.5</v>
      </c>
      <c r="N345" s="43" t="s">
        <v>75</v>
      </c>
      <c r="O345" s="42" t="s">
        <v>16</v>
      </c>
    </row>
    <row r="346" spans="1:15" ht="15.75" customHeight="1" x14ac:dyDescent="0.3">
      <c r="A346" s="40" t="s">
        <v>1013</v>
      </c>
      <c r="B346" s="40" t="s">
        <v>1014</v>
      </c>
      <c r="C346" s="40">
        <v>73</v>
      </c>
      <c r="D346" s="40" t="s">
        <v>120</v>
      </c>
      <c r="E346" s="41">
        <v>49.1</v>
      </c>
      <c r="F346" s="40" t="s">
        <v>116</v>
      </c>
      <c r="G346" s="40">
        <v>2</v>
      </c>
      <c r="H346" s="40" t="s">
        <v>63</v>
      </c>
      <c r="I346" s="40" t="s">
        <v>28</v>
      </c>
      <c r="J346" s="40" t="s">
        <v>42</v>
      </c>
      <c r="K346" s="40" t="s">
        <v>1015</v>
      </c>
      <c r="L346" s="41">
        <v>45145.73</v>
      </c>
      <c r="M346" s="41">
        <v>33175.01</v>
      </c>
      <c r="N346" s="40"/>
      <c r="O346" s="42" t="s">
        <v>16</v>
      </c>
    </row>
    <row r="347" spans="1:15" ht="15.75" customHeight="1" x14ac:dyDescent="0.3">
      <c r="A347" s="43" t="s">
        <v>1016</v>
      </c>
      <c r="B347" s="43" t="s">
        <v>1017</v>
      </c>
      <c r="C347" s="43">
        <v>70</v>
      </c>
      <c r="D347" s="43" t="s">
        <v>120</v>
      </c>
      <c r="E347" s="44">
        <v>47.9</v>
      </c>
      <c r="F347" s="43" t="s">
        <v>116</v>
      </c>
      <c r="G347" s="43">
        <v>0</v>
      </c>
      <c r="H347" s="43" t="s">
        <v>59</v>
      </c>
      <c r="I347" s="43" t="s">
        <v>32</v>
      </c>
      <c r="J347" s="43" t="s">
        <v>42</v>
      </c>
      <c r="K347" s="43" t="s">
        <v>1018</v>
      </c>
      <c r="L347" s="44">
        <v>763.94</v>
      </c>
      <c r="M347" s="44">
        <v>408.32</v>
      </c>
      <c r="N347" s="43"/>
      <c r="O347" s="45" t="s">
        <v>18</v>
      </c>
    </row>
    <row r="348" spans="1:15" ht="15.75" customHeight="1" x14ac:dyDescent="0.3">
      <c r="A348" s="40" t="s">
        <v>1019</v>
      </c>
      <c r="B348" s="40" t="s">
        <v>1020</v>
      </c>
      <c r="C348" s="40">
        <v>33</v>
      </c>
      <c r="D348" s="40" t="s">
        <v>124</v>
      </c>
      <c r="E348" s="41">
        <v>22.4</v>
      </c>
      <c r="F348" s="40" t="s">
        <v>116</v>
      </c>
      <c r="G348" s="40">
        <v>2</v>
      </c>
      <c r="H348" s="40" t="s">
        <v>63</v>
      </c>
      <c r="I348" s="40" t="s">
        <v>29</v>
      </c>
      <c r="J348" s="40" t="s">
        <v>44</v>
      </c>
      <c r="K348" s="40" t="s">
        <v>1021</v>
      </c>
      <c r="L348" s="41">
        <v>42414.58</v>
      </c>
      <c r="M348" s="41">
        <v>32851.06</v>
      </c>
      <c r="N348" s="40"/>
      <c r="O348" s="42" t="s">
        <v>16</v>
      </c>
    </row>
    <row r="349" spans="1:15" ht="15.75" customHeight="1" x14ac:dyDescent="0.3">
      <c r="A349" s="43" t="s">
        <v>1022</v>
      </c>
      <c r="B349" s="43" t="s">
        <v>1023</v>
      </c>
      <c r="C349" s="43">
        <v>64</v>
      </c>
      <c r="D349" s="43" t="s">
        <v>115</v>
      </c>
      <c r="E349" s="44">
        <v>46</v>
      </c>
      <c r="F349" s="43" t="s">
        <v>116</v>
      </c>
      <c r="G349" s="43">
        <v>1</v>
      </c>
      <c r="H349" s="43" t="s">
        <v>63</v>
      </c>
      <c r="I349" s="43" t="s">
        <v>30</v>
      </c>
      <c r="J349" s="43" t="s">
        <v>40</v>
      </c>
      <c r="K349" s="43" t="s">
        <v>1024</v>
      </c>
      <c r="L349" s="44">
        <v>112405.78</v>
      </c>
      <c r="M349" s="44">
        <v>78538.100000000006</v>
      </c>
      <c r="N349" s="43"/>
      <c r="O349" s="45" t="s">
        <v>18</v>
      </c>
    </row>
    <row r="350" spans="1:15" ht="15.75" customHeight="1" x14ac:dyDescent="0.3">
      <c r="A350" s="40" t="s">
        <v>1025</v>
      </c>
      <c r="B350" s="40" t="s">
        <v>1026</v>
      </c>
      <c r="C350" s="40">
        <v>30</v>
      </c>
      <c r="D350" s="40" t="s">
        <v>115</v>
      </c>
      <c r="E350" s="41">
        <v>41.3</v>
      </c>
      <c r="F350" s="40" t="s">
        <v>116</v>
      </c>
      <c r="G350" s="40">
        <v>0</v>
      </c>
      <c r="H350" s="40" t="s">
        <v>65</v>
      </c>
      <c r="I350" s="40" t="s">
        <v>29</v>
      </c>
      <c r="J350" s="40" t="s">
        <v>40</v>
      </c>
      <c r="K350" s="40" t="s">
        <v>1027</v>
      </c>
      <c r="L350" s="41">
        <v>73217.399999999994</v>
      </c>
      <c r="M350" s="41">
        <v>49507.1</v>
      </c>
      <c r="N350" s="40" t="s">
        <v>73</v>
      </c>
      <c r="O350" s="42" t="s">
        <v>16</v>
      </c>
    </row>
    <row r="351" spans="1:15" ht="15.75" customHeight="1" x14ac:dyDescent="0.3">
      <c r="A351" s="43" t="s">
        <v>1028</v>
      </c>
      <c r="B351" s="43" t="s">
        <v>1029</v>
      </c>
      <c r="C351" s="43">
        <v>43</v>
      </c>
      <c r="D351" s="43" t="s">
        <v>115</v>
      </c>
      <c r="E351" s="44">
        <v>25.6</v>
      </c>
      <c r="F351" s="43" t="s">
        <v>128</v>
      </c>
      <c r="G351" s="43">
        <v>3</v>
      </c>
      <c r="H351" s="43" t="s">
        <v>57</v>
      </c>
      <c r="I351" s="43" t="s">
        <v>28</v>
      </c>
      <c r="J351" s="43" t="s">
        <v>46</v>
      </c>
      <c r="K351" s="43" t="s">
        <v>1030</v>
      </c>
      <c r="L351" s="44">
        <v>71581.490000000005</v>
      </c>
      <c r="M351" s="44">
        <v>41997.04</v>
      </c>
      <c r="N351" s="43" t="s">
        <v>73</v>
      </c>
      <c r="O351" s="46" t="s">
        <v>17</v>
      </c>
    </row>
    <row r="352" spans="1:15" ht="15.75" customHeight="1" x14ac:dyDescent="0.3">
      <c r="A352" s="40" t="s">
        <v>1031</v>
      </c>
      <c r="B352" s="40" t="s">
        <v>251</v>
      </c>
      <c r="C352" s="40">
        <v>59</v>
      </c>
      <c r="D352" s="40" t="s">
        <v>120</v>
      </c>
      <c r="E352" s="41">
        <v>32.299999999999997</v>
      </c>
      <c r="F352" s="40" t="s">
        <v>116</v>
      </c>
      <c r="G352" s="40">
        <v>0</v>
      </c>
      <c r="H352" s="40" t="s">
        <v>57</v>
      </c>
      <c r="I352" s="40" t="s">
        <v>32</v>
      </c>
      <c r="J352" s="40" t="s">
        <v>48</v>
      </c>
      <c r="K352" s="40" t="s">
        <v>1032</v>
      </c>
      <c r="L352" s="41"/>
      <c r="M352" s="41">
        <v>95575.18</v>
      </c>
      <c r="N352" s="40" t="s">
        <v>75</v>
      </c>
      <c r="O352" s="46" t="s">
        <v>17</v>
      </c>
    </row>
    <row r="353" spans="1:15" ht="15.75" customHeight="1" x14ac:dyDescent="0.3">
      <c r="A353" s="43" t="s">
        <v>1033</v>
      </c>
      <c r="B353" s="43" t="s">
        <v>858</v>
      </c>
      <c r="C353" s="43">
        <v>83</v>
      </c>
      <c r="D353" s="43" t="s">
        <v>124</v>
      </c>
      <c r="E353" s="44">
        <v>34</v>
      </c>
      <c r="F353" s="43" t="s">
        <v>128</v>
      </c>
      <c r="G353" s="43">
        <v>1</v>
      </c>
      <c r="H353" s="43" t="s">
        <v>61</v>
      </c>
      <c r="I353" s="43" t="s">
        <v>28</v>
      </c>
      <c r="J353" s="43" t="s">
        <v>40</v>
      </c>
      <c r="K353" s="43" t="s">
        <v>1034</v>
      </c>
      <c r="L353" s="44">
        <v>74094.039999999994</v>
      </c>
      <c r="M353" s="44">
        <v>39440.25</v>
      </c>
      <c r="N353" s="43"/>
      <c r="O353" s="46" t="s">
        <v>17</v>
      </c>
    </row>
    <row r="354" spans="1:15" ht="15.75" customHeight="1" x14ac:dyDescent="0.3">
      <c r="A354" s="40" t="s">
        <v>1035</v>
      </c>
      <c r="B354" s="40" t="s">
        <v>721</v>
      </c>
      <c r="C354" s="40">
        <v>27</v>
      </c>
      <c r="D354" s="40" t="s">
        <v>120</v>
      </c>
      <c r="E354" s="41">
        <v>24.4</v>
      </c>
      <c r="F354" s="40" t="s">
        <v>116</v>
      </c>
      <c r="G354" s="40">
        <v>0</v>
      </c>
      <c r="H354" s="40" t="s">
        <v>63</v>
      </c>
      <c r="I354" s="40" t="s">
        <v>30</v>
      </c>
      <c r="J354" s="40" t="s">
        <v>49</v>
      </c>
      <c r="K354" s="40" t="s">
        <v>1036</v>
      </c>
      <c r="L354" s="41">
        <v>63390.78</v>
      </c>
      <c r="M354" s="41">
        <v>56333.89</v>
      </c>
      <c r="N354" s="40" t="s">
        <v>75</v>
      </c>
      <c r="O354" s="42" t="s">
        <v>16</v>
      </c>
    </row>
    <row r="355" spans="1:15" ht="15.75" customHeight="1" x14ac:dyDescent="0.3">
      <c r="A355" s="43" t="s">
        <v>1037</v>
      </c>
      <c r="B355" s="43" t="s">
        <v>1038</v>
      </c>
      <c r="C355" s="43">
        <v>30</v>
      </c>
      <c r="D355" s="43" t="s">
        <v>115</v>
      </c>
      <c r="E355" s="44">
        <v>25.7</v>
      </c>
      <c r="F355" s="43" t="s">
        <v>116</v>
      </c>
      <c r="G355" s="43">
        <v>2</v>
      </c>
      <c r="H355" s="43" t="s">
        <v>63</v>
      </c>
      <c r="I355" s="43" t="s">
        <v>30</v>
      </c>
      <c r="J355" s="43" t="s">
        <v>44</v>
      </c>
      <c r="K355" s="43" t="s">
        <v>1039</v>
      </c>
      <c r="L355" s="44">
        <v>106853.48</v>
      </c>
      <c r="M355" s="44">
        <v>94242.22</v>
      </c>
      <c r="N355" s="43" t="s">
        <v>74</v>
      </c>
      <c r="O355" s="46" t="s">
        <v>17</v>
      </c>
    </row>
    <row r="356" spans="1:15" ht="15.75" customHeight="1" x14ac:dyDescent="0.3">
      <c r="A356" s="40" t="s">
        <v>1040</v>
      </c>
      <c r="B356" s="40" t="s">
        <v>856</v>
      </c>
      <c r="C356" s="40">
        <v>63</v>
      </c>
      <c r="D356" s="40" t="s">
        <v>115</v>
      </c>
      <c r="E356" s="41">
        <v>42.7</v>
      </c>
      <c r="F356" s="40" t="s">
        <v>128</v>
      </c>
      <c r="G356" s="40">
        <v>4</v>
      </c>
      <c r="H356" s="40" t="s">
        <v>59</v>
      </c>
      <c r="I356" s="40" t="s">
        <v>32</v>
      </c>
      <c r="J356" s="40" t="s">
        <v>42</v>
      </c>
      <c r="K356" s="40" t="s">
        <v>1041</v>
      </c>
      <c r="L356" s="41">
        <v>4605.1899999999996</v>
      </c>
      <c r="M356" s="41">
        <v>4054.97</v>
      </c>
      <c r="N356" s="40" t="s">
        <v>74</v>
      </c>
      <c r="O356" s="46" t="s">
        <v>17</v>
      </c>
    </row>
    <row r="357" spans="1:15" ht="15.75" customHeight="1" x14ac:dyDescent="0.3">
      <c r="A357" s="43" t="s">
        <v>1042</v>
      </c>
      <c r="B357" s="43" t="s">
        <v>119</v>
      </c>
      <c r="C357" s="43">
        <v>44</v>
      </c>
      <c r="D357" s="43" t="s">
        <v>124</v>
      </c>
      <c r="E357" s="44">
        <v>27.3</v>
      </c>
      <c r="F357" s="43" t="s">
        <v>116</v>
      </c>
      <c r="G357" s="43">
        <v>3</v>
      </c>
      <c r="H357" s="43" t="s">
        <v>65</v>
      </c>
      <c r="I357" s="43" t="s">
        <v>30</v>
      </c>
      <c r="J357" s="43" t="s">
        <v>50</v>
      </c>
      <c r="K357" s="43" t="s">
        <v>1043</v>
      </c>
      <c r="L357" s="44">
        <v>92585.17</v>
      </c>
      <c r="M357" s="44">
        <v>63071</v>
      </c>
      <c r="N357" s="43"/>
      <c r="O357" s="46" t="s">
        <v>17</v>
      </c>
    </row>
    <row r="358" spans="1:15" ht="15.75" customHeight="1" x14ac:dyDescent="0.3">
      <c r="A358" s="40" t="s">
        <v>1044</v>
      </c>
      <c r="B358" s="40" t="s">
        <v>861</v>
      </c>
      <c r="C358" s="40">
        <v>70</v>
      </c>
      <c r="D358" s="40" t="s">
        <v>120</v>
      </c>
      <c r="E358" s="41">
        <v>28.5</v>
      </c>
      <c r="F358" s="40" t="s">
        <v>128</v>
      </c>
      <c r="G358" s="40">
        <v>3</v>
      </c>
      <c r="H358" s="40" t="s">
        <v>65</v>
      </c>
      <c r="I358" s="40" t="s">
        <v>31</v>
      </c>
      <c r="J358" s="40" t="s">
        <v>47</v>
      </c>
      <c r="K358" s="40" t="s">
        <v>1045</v>
      </c>
      <c r="L358" s="41">
        <v>108165.48</v>
      </c>
      <c r="M358" s="41">
        <v>97128.59</v>
      </c>
      <c r="N358" s="40"/>
      <c r="O358" s="46" t="s">
        <v>17</v>
      </c>
    </row>
    <row r="359" spans="1:15" ht="15.75" customHeight="1" x14ac:dyDescent="0.3">
      <c r="A359" s="43" t="s">
        <v>1046</v>
      </c>
      <c r="B359" s="43" t="s">
        <v>1047</v>
      </c>
      <c r="C359" s="43">
        <v>30</v>
      </c>
      <c r="D359" s="43" t="s">
        <v>124</v>
      </c>
      <c r="E359" s="44">
        <v>47.9</v>
      </c>
      <c r="F359" s="43" t="s">
        <v>128</v>
      </c>
      <c r="G359" s="43">
        <v>4</v>
      </c>
      <c r="H359" s="43" t="s">
        <v>65</v>
      </c>
      <c r="I359" s="43" t="s">
        <v>29</v>
      </c>
      <c r="J359" s="43" t="s">
        <v>50</v>
      </c>
      <c r="K359" s="43" t="s">
        <v>1048</v>
      </c>
      <c r="L359" s="44">
        <v>4071.53</v>
      </c>
      <c r="M359" s="44">
        <v>3234.92</v>
      </c>
      <c r="N359" s="43"/>
      <c r="O359" s="42" t="s">
        <v>16</v>
      </c>
    </row>
    <row r="360" spans="1:15" ht="15.75" customHeight="1" x14ac:dyDescent="0.3">
      <c r="A360" s="40" t="s">
        <v>1049</v>
      </c>
      <c r="B360" s="40" t="s">
        <v>637</v>
      </c>
      <c r="C360" s="40">
        <v>76</v>
      </c>
      <c r="D360" s="40" t="s">
        <v>115</v>
      </c>
      <c r="E360" s="41">
        <v>45.1</v>
      </c>
      <c r="F360" s="40" t="s">
        <v>128</v>
      </c>
      <c r="G360" s="40">
        <v>1</v>
      </c>
      <c r="H360" s="40" t="s">
        <v>61</v>
      </c>
      <c r="I360" s="40" t="s">
        <v>31</v>
      </c>
      <c r="J360" s="40" t="s">
        <v>40</v>
      </c>
      <c r="K360" s="40" t="s">
        <v>1050</v>
      </c>
      <c r="L360" s="41">
        <v>107069.38</v>
      </c>
      <c r="M360" s="41">
        <v>63470.69</v>
      </c>
      <c r="N360" s="40"/>
      <c r="O360" s="42" t="s">
        <v>16</v>
      </c>
    </row>
    <row r="361" spans="1:15" ht="15.75" customHeight="1" x14ac:dyDescent="0.3">
      <c r="A361" s="43" t="s">
        <v>1051</v>
      </c>
      <c r="B361" s="43" t="s">
        <v>1052</v>
      </c>
      <c r="C361" s="43">
        <v>45</v>
      </c>
      <c r="D361" s="43" t="s">
        <v>120</v>
      </c>
      <c r="E361" s="44">
        <v>20.5</v>
      </c>
      <c r="F361" s="43" t="s">
        <v>128</v>
      </c>
      <c r="G361" s="43">
        <v>0</v>
      </c>
      <c r="H361" s="43" t="s">
        <v>63</v>
      </c>
      <c r="I361" s="43" t="s">
        <v>29</v>
      </c>
      <c r="J361" s="43" t="s">
        <v>42</v>
      </c>
      <c r="K361" s="43" t="s">
        <v>1053</v>
      </c>
      <c r="L361" s="44">
        <v>4671.62</v>
      </c>
      <c r="M361" s="44">
        <v>3675</v>
      </c>
      <c r="N361" s="43"/>
      <c r="O361" s="42" t="s">
        <v>16</v>
      </c>
    </row>
    <row r="362" spans="1:15" ht="15.75" customHeight="1" x14ac:dyDescent="0.3">
      <c r="A362" s="40" t="s">
        <v>1054</v>
      </c>
      <c r="B362" s="40" t="s">
        <v>1055</v>
      </c>
      <c r="C362" s="40">
        <v>25</v>
      </c>
      <c r="D362" s="40" t="s">
        <v>124</v>
      </c>
      <c r="E362" s="41">
        <v>19.7</v>
      </c>
      <c r="F362" s="40" t="s">
        <v>116</v>
      </c>
      <c r="G362" s="40">
        <v>4</v>
      </c>
      <c r="H362" s="40" t="s">
        <v>65</v>
      </c>
      <c r="I362" s="40" t="s">
        <v>29</v>
      </c>
      <c r="J362" s="40" t="s">
        <v>44</v>
      </c>
      <c r="K362" s="40" t="s">
        <v>1056</v>
      </c>
      <c r="L362" s="41">
        <v>26401.22</v>
      </c>
      <c r="M362" s="41">
        <v>18697.04</v>
      </c>
      <c r="N362" s="40"/>
      <c r="O362" s="42" t="s">
        <v>16</v>
      </c>
    </row>
    <row r="363" spans="1:15" ht="15.75" customHeight="1" x14ac:dyDescent="0.3">
      <c r="A363" s="43" t="s">
        <v>1057</v>
      </c>
      <c r="B363" s="43" t="s">
        <v>884</v>
      </c>
      <c r="C363" s="43">
        <v>81</v>
      </c>
      <c r="D363" s="43" t="s">
        <v>115</v>
      </c>
      <c r="E363" s="44">
        <v>24.4</v>
      </c>
      <c r="F363" s="43" t="s">
        <v>128</v>
      </c>
      <c r="G363" s="43">
        <v>0</v>
      </c>
      <c r="H363" s="43" t="s">
        <v>57</v>
      </c>
      <c r="I363" s="43" t="s">
        <v>29</v>
      </c>
      <c r="J363" s="43" t="s">
        <v>44</v>
      </c>
      <c r="K363" s="43" t="s">
        <v>505</v>
      </c>
      <c r="L363" s="44">
        <v>109531.19</v>
      </c>
      <c r="M363" s="44">
        <v>89533.78</v>
      </c>
      <c r="N363" s="43"/>
      <c r="O363" s="42" t="s">
        <v>16</v>
      </c>
    </row>
    <row r="364" spans="1:15" ht="15.75" customHeight="1" x14ac:dyDescent="0.3">
      <c r="A364" s="40" t="s">
        <v>1058</v>
      </c>
      <c r="B364" s="40" t="s">
        <v>1059</v>
      </c>
      <c r="C364" s="40">
        <v>25</v>
      </c>
      <c r="D364" s="40" t="s">
        <v>120</v>
      </c>
      <c r="E364" s="41">
        <v>39</v>
      </c>
      <c r="F364" s="40" t="s">
        <v>116</v>
      </c>
      <c r="G364" s="40">
        <v>3</v>
      </c>
      <c r="H364" s="40" t="s">
        <v>57</v>
      </c>
      <c r="I364" s="40" t="s">
        <v>29</v>
      </c>
      <c r="J364" s="40" t="s">
        <v>46</v>
      </c>
      <c r="K364" s="40" t="s">
        <v>1060</v>
      </c>
      <c r="L364" s="41">
        <v>11924.2</v>
      </c>
      <c r="M364" s="41">
        <v>9859.25</v>
      </c>
      <c r="N364" s="40"/>
      <c r="O364" s="42" t="s">
        <v>16</v>
      </c>
    </row>
    <row r="365" spans="1:15" ht="15.75" customHeight="1" x14ac:dyDescent="0.3">
      <c r="A365" s="43" t="s">
        <v>1061</v>
      </c>
      <c r="B365" s="43" t="s">
        <v>490</v>
      </c>
      <c r="C365" s="43">
        <v>46</v>
      </c>
      <c r="D365" s="43" t="s">
        <v>124</v>
      </c>
      <c r="E365" s="44"/>
      <c r="F365" s="43" t="s">
        <v>128</v>
      </c>
      <c r="G365" s="43">
        <v>4</v>
      </c>
      <c r="H365" s="43" t="s">
        <v>63</v>
      </c>
      <c r="I365" s="43" t="s">
        <v>32</v>
      </c>
      <c r="J365" s="43" t="s">
        <v>47</v>
      </c>
      <c r="K365" s="43" t="s">
        <v>1062</v>
      </c>
      <c r="L365" s="44">
        <v>12407.48</v>
      </c>
      <c r="M365" s="44">
        <v>9887.07</v>
      </c>
      <c r="N365" s="43"/>
      <c r="O365" s="42" t="s">
        <v>16</v>
      </c>
    </row>
    <row r="366" spans="1:15" ht="15.75" customHeight="1" x14ac:dyDescent="0.3">
      <c r="A366" s="40" t="s">
        <v>1063</v>
      </c>
      <c r="B366" s="40" t="s">
        <v>1064</v>
      </c>
      <c r="C366" s="40">
        <v>55</v>
      </c>
      <c r="D366" s="40" t="s">
        <v>115</v>
      </c>
      <c r="E366" s="41">
        <v>30.8</v>
      </c>
      <c r="F366" s="40" t="s">
        <v>128</v>
      </c>
      <c r="G366" s="40">
        <v>3</v>
      </c>
      <c r="H366" s="40" t="s">
        <v>65</v>
      </c>
      <c r="I366" s="40" t="s">
        <v>28</v>
      </c>
      <c r="J366" s="40" t="s">
        <v>40</v>
      </c>
      <c r="K366" s="40" t="s">
        <v>1065</v>
      </c>
      <c r="L366" s="41">
        <v>94689.11</v>
      </c>
      <c r="M366" s="41">
        <v>78816.789999999994</v>
      </c>
      <c r="N366" s="40"/>
      <c r="O366" s="46" t="s">
        <v>17</v>
      </c>
    </row>
    <row r="367" spans="1:15" ht="15.75" customHeight="1" x14ac:dyDescent="0.3">
      <c r="A367" s="43" t="s">
        <v>1066</v>
      </c>
      <c r="B367" s="43" t="s">
        <v>970</v>
      </c>
      <c r="C367" s="43">
        <v>59</v>
      </c>
      <c r="D367" s="43" t="s">
        <v>120</v>
      </c>
      <c r="E367" s="44">
        <v>15.3</v>
      </c>
      <c r="F367" s="43" t="s">
        <v>128</v>
      </c>
      <c r="G367" s="43">
        <v>0</v>
      </c>
      <c r="H367" s="43" t="s">
        <v>57</v>
      </c>
      <c r="I367" s="43" t="s">
        <v>30</v>
      </c>
      <c r="J367" s="43" t="s">
        <v>46</v>
      </c>
      <c r="K367" s="43" t="s">
        <v>1067</v>
      </c>
      <c r="L367" s="44">
        <v>117422.44</v>
      </c>
      <c r="M367" s="44">
        <v>70586.02</v>
      </c>
      <c r="N367" s="43" t="s">
        <v>74</v>
      </c>
      <c r="O367" s="42" t="s">
        <v>16</v>
      </c>
    </row>
    <row r="368" spans="1:15" ht="15.75" customHeight="1" x14ac:dyDescent="0.3">
      <c r="A368" s="40" t="s">
        <v>1068</v>
      </c>
      <c r="B368" s="40" t="s">
        <v>1069</v>
      </c>
      <c r="C368" s="40">
        <v>62</v>
      </c>
      <c r="D368" s="40" t="s">
        <v>115</v>
      </c>
      <c r="E368" s="41">
        <v>30.4</v>
      </c>
      <c r="F368" s="40" t="s">
        <v>116</v>
      </c>
      <c r="G368" s="40">
        <v>4</v>
      </c>
      <c r="H368" s="40" t="s">
        <v>61</v>
      </c>
      <c r="I368" s="40" t="s">
        <v>32</v>
      </c>
      <c r="J368" s="40" t="s">
        <v>50</v>
      </c>
      <c r="K368" s="40" t="s">
        <v>1070</v>
      </c>
      <c r="L368" s="41"/>
      <c r="M368" s="41">
        <v>95591.52</v>
      </c>
      <c r="N368" s="40"/>
      <c r="O368" s="42" t="s">
        <v>16</v>
      </c>
    </row>
    <row r="369" spans="1:15" ht="15.75" customHeight="1" x14ac:dyDescent="0.3">
      <c r="A369" s="43" t="s">
        <v>1071</v>
      </c>
      <c r="B369" s="43" t="s">
        <v>114</v>
      </c>
      <c r="C369" s="43">
        <v>80</v>
      </c>
      <c r="D369" s="43" t="s">
        <v>124</v>
      </c>
      <c r="E369" s="44">
        <v>24.7</v>
      </c>
      <c r="F369" s="43" t="s">
        <v>116</v>
      </c>
      <c r="G369" s="43">
        <v>2</v>
      </c>
      <c r="H369" s="43" t="s">
        <v>59</v>
      </c>
      <c r="I369" s="43" t="s">
        <v>28</v>
      </c>
      <c r="J369" s="43" t="s">
        <v>48</v>
      </c>
      <c r="K369" s="43" t="s">
        <v>1072</v>
      </c>
      <c r="L369" s="44">
        <v>3924.02</v>
      </c>
      <c r="M369" s="44">
        <v>3374.4</v>
      </c>
      <c r="N369" s="43" t="s">
        <v>75</v>
      </c>
      <c r="O369" s="42" t="s">
        <v>16</v>
      </c>
    </row>
    <row r="370" spans="1:15" ht="15.75" customHeight="1" x14ac:dyDescent="0.3">
      <c r="A370" s="40" t="s">
        <v>1073</v>
      </c>
      <c r="B370" s="40" t="s">
        <v>1074</v>
      </c>
      <c r="C370" s="40">
        <v>67</v>
      </c>
      <c r="D370" s="40" t="s">
        <v>124</v>
      </c>
      <c r="E370" s="41">
        <v>27.2</v>
      </c>
      <c r="F370" s="40" t="s">
        <v>128</v>
      </c>
      <c r="G370" s="40">
        <v>2</v>
      </c>
      <c r="H370" s="40" t="s">
        <v>57</v>
      </c>
      <c r="I370" s="40" t="s">
        <v>29</v>
      </c>
      <c r="J370" s="40" t="s">
        <v>42</v>
      </c>
      <c r="K370" s="40" t="s">
        <v>1075</v>
      </c>
      <c r="L370" s="41">
        <v>85334.25</v>
      </c>
      <c r="M370" s="41">
        <v>79599.75</v>
      </c>
      <c r="N370" s="40"/>
      <c r="O370" s="46" t="s">
        <v>17</v>
      </c>
    </row>
    <row r="371" spans="1:15" ht="15.75" customHeight="1" x14ac:dyDescent="0.3">
      <c r="A371" s="43" t="s">
        <v>1076</v>
      </c>
      <c r="B371" s="43" t="s">
        <v>1077</v>
      </c>
      <c r="C371" s="43">
        <v>26</v>
      </c>
      <c r="D371" s="43" t="s">
        <v>124</v>
      </c>
      <c r="E371" s="44">
        <v>16.899999999999999</v>
      </c>
      <c r="F371" s="43" t="s">
        <v>128</v>
      </c>
      <c r="G371" s="43">
        <v>3</v>
      </c>
      <c r="H371" s="43" t="s">
        <v>61</v>
      </c>
      <c r="I371" s="43" t="s">
        <v>28</v>
      </c>
      <c r="J371" s="43" t="s">
        <v>46</v>
      </c>
      <c r="K371" s="43" t="s">
        <v>1078</v>
      </c>
      <c r="L371" s="44">
        <v>871.86</v>
      </c>
      <c r="M371" s="44">
        <v>829.57</v>
      </c>
      <c r="N371" s="43"/>
      <c r="O371" s="42" t="s">
        <v>16</v>
      </c>
    </row>
    <row r="372" spans="1:15" ht="15.75" customHeight="1" x14ac:dyDescent="0.3">
      <c r="A372" s="40" t="s">
        <v>1079</v>
      </c>
      <c r="B372" s="40" t="s">
        <v>164</v>
      </c>
      <c r="C372" s="40">
        <v>27</v>
      </c>
      <c r="D372" s="40" t="s">
        <v>120</v>
      </c>
      <c r="E372" s="41">
        <v>32.299999999999997</v>
      </c>
      <c r="F372" s="40" t="s">
        <v>116</v>
      </c>
      <c r="G372" s="40">
        <v>2</v>
      </c>
      <c r="H372" s="40" t="s">
        <v>63</v>
      </c>
      <c r="I372" s="40" t="s">
        <v>28</v>
      </c>
      <c r="J372" s="40" t="s">
        <v>40</v>
      </c>
      <c r="K372" s="40" t="s">
        <v>1080</v>
      </c>
      <c r="L372" s="41">
        <v>84912.08</v>
      </c>
      <c r="M372" s="41">
        <v>84282.78</v>
      </c>
      <c r="N372" s="40"/>
      <c r="O372" s="42" t="s">
        <v>16</v>
      </c>
    </row>
    <row r="373" spans="1:15" ht="15.75" customHeight="1" x14ac:dyDescent="0.3">
      <c r="A373" s="43" t="s">
        <v>1081</v>
      </c>
      <c r="B373" s="43" t="s">
        <v>161</v>
      </c>
      <c r="C373" s="43">
        <v>73</v>
      </c>
      <c r="D373" s="43" t="s">
        <v>124</v>
      </c>
      <c r="E373" s="44"/>
      <c r="F373" s="43" t="s">
        <v>128</v>
      </c>
      <c r="G373" s="43">
        <v>0</v>
      </c>
      <c r="H373" s="43" t="s">
        <v>65</v>
      </c>
      <c r="I373" s="43" t="s">
        <v>32</v>
      </c>
      <c r="J373" s="43" t="s">
        <v>49</v>
      </c>
      <c r="K373" s="43" t="s">
        <v>1082</v>
      </c>
      <c r="L373" s="44">
        <v>108695.84</v>
      </c>
      <c r="M373" s="44">
        <v>82549.490000000005</v>
      </c>
      <c r="N373" s="43" t="s">
        <v>75</v>
      </c>
      <c r="O373" s="46" t="s">
        <v>17</v>
      </c>
    </row>
    <row r="374" spans="1:15" ht="15.75" customHeight="1" x14ac:dyDescent="0.3">
      <c r="A374" s="40" t="s">
        <v>1083</v>
      </c>
      <c r="B374" s="40" t="s">
        <v>1084</v>
      </c>
      <c r="C374" s="40">
        <v>64</v>
      </c>
      <c r="D374" s="40" t="s">
        <v>115</v>
      </c>
      <c r="E374" s="41">
        <v>29.2</v>
      </c>
      <c r="F374" s="40" t="s">
        <v>128</v>
      </c>
      <c r="G374" s="40">
        <v>3</v>
      </c>
      <c r="H374" s="40" t="s">
        <v>65</v>
      </c>
      <c r="I374" s="40" t="s">
        <v>32</v>
      </c>
      <c r="J374" s="40" t="s">
        <v>44</v>
      </c>
      <c r="K374" s="40" t="s">
        <v>1085</v>
      </c>
      <c r="L374" s="41">
        <v>28997.67</v>
      </c>
      <c r="M374" s="41">
        <v>25301.93</v>
      </c>
      <c r="N374" s="40"/>
      <c r="O374" s="45" t="s">
        <v>18</v>
      </c>
    </row>
    <row r="375" spans="1:15" ht="15.75" customHeight="1" x14ac:dyDescent="0.3">
      <c r="A375" s="43" t="s">
        <v>1086</v>
      </c>
      <c r="B375" s="43" t="s">
        <v>1087</v>
      </c>
      <c r="C375" s="43">
        <v>46</v>
      </c>
      <c r="D375" s="43" t="s">
        <v>124</v>
      </c>
      <c r="E375" s="44">
        <v>18</v>
      </c>
      <c r="F375" s="43" t="s">
        <v>128</v>
      </c>
      <c r="G375" s="43">
        <v>2</v>
      </c>
      <c r="H375" s="43" t="s">
        <v>63</v>
      </c>
      <c r="I375" s="43" t="s">
        <v>31</v>
      </c>
      <c r="J375" s="43" t="s">
        <v>50</v>
      </c>
      <c r="K375" s="43" t="s">
        <v>1088</v>
      </c>
      <c r="L375" s="44">
        <v>48688.09</v>
      </c>
      <c r="M375" s="44">
        <v>46460.9</v>
      </c>
      <c r="N375" s="43"/>
      <c r="O375" s="46" t="s">
        <v>17</v>
      </c>
    </row>
    <row r="376" spans="1:15" ht="15.75" customHeight="1" x14ac:dyDescent="0.3">
      <c r="A376" s="40" t="s">
        <v>1089</v>
      </c>
      <c r="B376" s="40" t="s">
        <v>355</v>
      </c>
      <c r="C376" s="40">
        <v>55</v>
      </c>
      <c r="D376" s="40" t="s">
        <v>115</v>
      </c>
      <c r="E376" s="41">
        <v>28.7</v>
      </c>
      <c r="F376" s="40" t="s">
        <v>128</v>
      </c>
      <c r="G376" s="40">
        <v>4</v>
      </c>
      <c r="H376" s="40" t="s">
        <v>61</v>
      </c>
      <c r="I376" s="40" t="s">
        <v>32</v>
      </c>
      <c r="J376" s="40" t="s">
        <v>44</v>
      </c>
      <c r="K376" s="40" t="s">
        <v>1090</v>
      </c>
      <c r="L376" s="41">
        <v>24512.71</v>
      </c>
      <c r="M376" s="41">
        <v>24121.01</v>
      </c>
      <c r="N376" s="40" t="s">
        <v>74</v>
      </c>
      <c r="O376" s="42" t="s">
        <v>16</v>
      </c>
    </row>
    <row r="377" spans="1:15" ht="15.75" customHeight="1" x14ac:dyDescent="0.3">
      <c r="A377" s="43" t="s">
        <v>1091</v>
      </c>
      <c r="B377" s="43" t="s">
        <v>1092</v>
      </c>
      <c r="C377" s="43">
        <v>81</v>
      </c>
      <c r="D377" s="43" t="s">
        <v>124</v>
      </c>
      <c r="E377" s="44">
        <v>25.4</v>
      </c>
      <c r="F377" s="43" t="s">
        <v>128</v>
      </c>
      <c r="G377" s="43">
        <v>1</v>
      </c>
      <c r="H377" s="43" t="s">
        <v>61</v>
      </c>
      <c r="I377" s="43" t="s">
        <v>29</v>
      </c>
      <c r="J377" s="43" t="s">
        <v>49</v>
      </c>
      <c r="K377" s="43" t="s">
        <v>1093</v>
      </c>
      <c r="L377" s="44">
        <v>22915.05</v>
      </c>
      <c r="M377" s="44">
        <v>17610.060000000001</v>
      </c>
      <c r="N377" s="43"/>
      <c r="O377" s="42" t="s">
        <v>16</v>
      </c>
    </row>
    <row r="378" spans="1:15" ht="15.75" customHeight="1" x14ac:dyDescent="0.3">
      <c r="A378" s="40" t="s">
        <v>1094</v>
      </c>
      <c r="B378" s="40" t="s">
        <v>1095</v>
      </c>
      <c r="C378" s="40">
        <v>34</v>
      </c>
      <c r="D378" s="40" t="s">
        <v>124</v>
      </c>
      <c r="E378" s="41">
        <v>28.8</v>
      </c>
      <c r="F378" s="40" t="s">
        <v>116</v>
      </c>
      <c r="G378" s="40">
        <v>4</v>
      </c>
      <c r="H378" s="40" t="s">
        <v>61</v>
      </c>
      <c r="I378" s="40" t="s">
        <v>29</v>
      </c>
      <c r="J378" s="40" t="s">
        <v>42</v>
      </c>
      <c r="K378" s="40" t="s">
        <v>129</v>
      </c>
      <c r="L378" s="41">
        <v>109744.03</v>
      </c>
      <c r="M378" s="41">
        <v>77233.69</v>
      </c>
      <c r="N378" s="40"/>
      <c r="O378" s="42" t="s">
        <v>16</v>
      </c>
    </row>
    <row r="379" spans="1:15" ht="15.75" customHeight="1" x14ac:dyDescent="0.3">
      <c r="A379" s="43" t="s">
        <v>1096</v>
      </c>
      <c r="B379" s="43" t="s">
        <v>1097</v>
      </c>
      <c r="C379" s="43">
        <v>75</v>
      </c>
      <c r="D379" s="43" t="s">
        <v>124</v>
      </c>
      <c r="E379" s="44">
        <v>41.9</v>
      </c>
      <c r="F379" s="43" t="s">
        <v>116</v>
      </c>
      <c r="G379" s="43">
        <v>3</v>
      </c>
      <c r="H379" s="43" t="s">
        <v>61</v>
      </c>
      <c r="I379" s="43" t="s">
        <v>28</v>
      </c>
      <c r="J379" s="43" t="s">
        <v>47</v>
      </c>
      <c r="K379" s="43" t="s">
        <v>1098</v>
      </c>
      <c r="L379" s="44">
        <v>19415.689999999999</v>
      </c>
      <c r="M379" s="44">
        <v>12318.1</v>
      </c>
      <c r="N379" s="43" t="s">
        <v>73</v>
      </c>
      <c r="O379" s="42" t="s">
        <v>16</v>
      </c>
    </row>
    <row r="380" spans="1:15" ht="15.75" customHeight="1" x14ac:dyDescent="0.3">
      <c r="A380" s="40" t="s">
        <v>1099</v>
      </c>
      <c r="B380" s="40" t="s">
        <v>1100</v>
      </c>
      <c r="C380" s="40">
        <v>34</v>
      </c>
      <c r="D380" s="40" t="s">
        <v>120</v>
      </c>
      <c r="E380" s="41">
        <v>48.5</v>
      </c>
      <c r="F380" s="40" t="s">
        <v>116</v>
      </c>
      <c r="G380" s="40">
        <v>3</v>
      </c>
      <c r="H380" s="40" t="s">
        <v>61</v>
      </c>
      <c r="I380" s="40" t="s">
        <v>30</v>
      </c>
      <c r="J380" s="40" t="s">
        <v>47</v>
      </c>
      <c r="K380" s="40" t="s">
        <v>1101</v>
      </c>
      <c r="L380" s="41">
        <v>70100.679999999993</v>
      </c>
      <c r="M380" s="41">
        <v>58780.1</v>
      </c>
      <c r="N380" s="40"/>
      <c r="O380" s="42" t="s">
        <v>16</v>
      </c>
    </row>
    <row r="381" spans="1:15" ht="15.75" customHeight="1" x14ac:dyDescent="0.3">
      <c r="A381" s="43" t="s">
        <v>1102</v>
      </c>
      <c r="B381" s="43" t="s">
        <v>453</v>
      </c>
      <c r="C381" s="43">
        <v>51</v>
      </c>
      <c r="D381" s="43" t="s">
        <v>115</v>
      </c>
      <c r="E381" s="44">
        <v>36.4</v>
      </c>
      <c r="F381" s="43" t="s">
        <v>116</v>
      </c>
      <c r="G381" s="43">
        <v>2</v>
      </c>
      <c r="H381" s="43" t="s">
        <v>63</v>
      </c>
      <c r="I381" s="43" t="s">
        <v>32</v>
      </c>
      <c r="J381" s="43" t="s">
        <v>42</v>
      </c>
      <c r="K381" s="43" t="s">
        <v>454</v>
      </c>
      <c r="L381" s="44">
        <v>8831.11</v>
      </c>
      <c r="M381" s="44">
        <v>5833.84</v>
      </c>
      <c r="N381" s="43"/>
      <c r="O381" s="42" t="s">
        <v>16</v>
      </c>
    </row>
    <row r="382" spans="1:15" ht="15.75" customHeight="1" x14ac:dyDescent="0.3">
      <c r="A382" s="40" t="s">
        <v>1103</v>
      </c>
      <c r="B382" s="40" t="s">
        <v>753</v>
      </c>
      <c r="C382" s="40">
        <v>83</v>
      </c>
      <c r="D382" s="40" t="s">
        <v>115</v>
      </c>
      <c r="E382" s="41">
        <v>28.8</v>
      </c>
      <c r="F382" s="40" t="s">
        <v>128</v>
      </c>
      <c r="G382" s="40">
        <v>4</v>
      </c>
      <c r="H382" s="40" t="s">
        <v>59</v>
      </c>
      <c r="I382" s="40" t="s">
        <v>32</v>
      </c>
      <c r="J382" s="40" t="s">
        <v>48</v>
      </c>
      <c r="K382" s="40" t="s">
        <v>1104</v>
      </c>
      <c r="L382" s="41">
        <v>55357.78</v>
      </c>
      <c r="M382" s="41">
        <v>46578.41</v>
      </c>
      <c r="N382" s="40" t="s">
        <v>74</v>
      </c>
      <c r="O382" s="46" t="s">
        <v>17</v>
      </c>
    </row>
    <row r="383" spans="1:15" ht="15.75" customHeight="1" x14ac:dyDescent="0.3">
      <c r="A383" s="43" t="s">
        <v>1105</v>
      </c>
      <c r="B383" s="43" t="s">
        <v>1106</v>
      </c>
      <c r="C383" s="43">
        <v>34</v>
      </c>
      <c r="D383" s="43" t="s">
        <v>115</v>
      </c>
      <c r="E383" s="44">
        <v>32.299999999999997</v>
      </c>
      <c r="F383" s="43" t="s">
        <v>116</v>
      </c>
      <c r="G383" s="43">
        <v>3</v>
      </c>
      <c r="H383" s="43" t="s">
        <v>65</v>
      </c>
      <c r="I383" s="43" t="s">
        <v>31</v>
      </c>
      <c r="J383" s="43" t="s">
        <v>48</v>
      </c>
      <c r="K383" s="43" t="s">
        <v>1107</v>
      </c>
      <c r="L383" s="44">
        <v>96299.31</v>
      </c>
      <c r="M383" s="44">
        <v>84781.42</v>
      </c>
      <c r="N383" s="43"/>
      <c r="O383" s="42" t="s">
        <v>16</v>
      </c>
    </row>
    <row r="384" spans="1:15" ht="15.75" customHeight="1" x14ac:dyDescent="0.3">
      <c r="A384" s="40" t="s">
        <v>1108</v>
      </c>
      <c r="B384" s="40" t="s">
        <v>377</v>
      </c>
      <c r="C384" s="40">
        <v>70</v>
      </c>
      <c r="D384" s="40" t="s">
        <v>124</v>
      </c>
      <c r="E384" s="41">
        <v>45.2</v>
      </c>
      <c r="F384" s="40" t="s">
        <v>116</v>
      </c>
      <c r="G384" s="40">
        <v>1</v>
      </c>
      <c r="H384" s="40" t="s">
        <v>59</v>
      </c>
      <c r="I384" s="40" t="s">
        <v>30</v>
      </c>
      <c r="J384" s="40" t="s">
        <v>46</v>
      </c>
      <c r="K384" s="40" t="s">
        <v>1109</v>
      </c>
      <c r="L384" s="41">
        <v>10688.81</v>
      </c>
      <c r="M384" s="41">
        <v>9558.56</v>
      </c>
      <c r="N384" s="40" t="s">
        <v>75</v>
      </c>
      <c r="O384" s="42" t="s">
        <v>16</v>
      </c>
    </row>
    <row r="385" spans="1:15" ht="15.75" customHeight="1" x14ac:dyDescent="0.3">
      <c r="A385" s="43" t="s">
        <v>1110</v>
      </c>
      <c r="B385" s="43" t="s">
        <v>753</v>
      </c>
      <c r="C385" s="43">
        <v>24</v>
      </c>
      <c r="D385" s="43" t="s">
        <v>115</v>
      </c>
      <c r="E385" s="44">
        <v>44.8</v>
      </c>
      <c r="F385" s="43" t="s">
        <v>116</v>
      </c>
      <c r="G385" s="43">
        <v>0</v>
      </c>
      <c r="H385" s="43" t="s">
        <v>61</v>
      </c>
      <c r="I385" s="43" t="s">
        <v>28</v>
      </c>
      <c r="J385" s="43" t="s">
        <v>47</v>
      </c>
      <c r="K385" s="43" t="s">
        <v>689</v>
      </c>
      <c r="L385" s="44">
        <v>40152.730000000003</v>
      </c>
      <c r="M385" s="44">
        <v>33362.22</v>
      </c>
      <c r="N385" s="43" t="s">
        <v>74</v>
      </c>
      <c r="O385" s="42" t="s">
        <v>16</v>
      </c>
    </row>
    <row r="386" spans="1:15" ht="15.75" customHeight="1" x14ac:dyDescent="0.3">
      <c r="A386" s="40" t="s">
        <v>1111</v>
      </c>
      <c r="B386" s="40" t="s">
        <v>1112</v>
      </c>
      <c r="C386" s="40">
        <v>34</v>
      </c>
      <c r="D386" s="40" t="s">
        <v>115</v>
      </c>
      <c r="E386" s="41">
        <v>44.7</v>
      </c>
      <c r="F386" s="40" t="s">
        <v>128</v>
      </c>
      <c r="G386" s="40">
        <v>2</v>
      </c>
      <c r="H386" s="40" t="s">
        <v>63</v>
      </c>
      <c r="I386" s="40" t="s">
        <v>29</v>
      </c>
      <c r="J386" s="40" t="s">
        <v>44</v>
      </c>
      <c r="K386" s="40" t="s">
        <v>1113</v>
      </c>
      <c r="L386" s="41">
        <v>15124.92</v>
      </c>
      <c r="M386" s="41">
        <v>9788.4500000000007</v>
      </c>
      <c r="N386" s="40"/>
      <c r="O386" s="42" t="s">
        <v>16</v>
      </c>
    </row>
    <row r="387" spans="1:15" ht="15.75" customHeight="1" x14ac:dyDescent="0.3">
      <c r="A387" s="43" t="s">
        <v>1114</v>
      </c>
      <c r="B387" s="43" t="s">
        <v>1014</v>
      </c>
      <c r="C387" s="43">
        <v>31</v>
      </c>
      <c r="D387" s="43" t="s">
        <v>115</v>
      </c>
      <c r="E387" s="44">
        <v>47.6</v>
      </c>
      <c r="F387" s="43" t="s">
        <v>128</v>
      </c>
      <c r="G387" s="43">
        <v>3</v>
      </c>
      <c r="H387" s="43" t="s">
        <v>63</v>
      </c>
      <c r="I387" s="43" t="s">
        <v>29</v>
      </c>
      <c r="J387" s="43" t="s">
        <v>50</v>
      </c>
      <c r="K387" s="43" t="s">
        <v>1115</v>
      </c>
      <c r="L387" s="44">
        <v>67333.17</v>
      </c>
      <c r="M387" s="44">
        <v>34331.03</v>
      </c>
      <c r="N387" s="43"/>
      <c r="O387" s="42" t="s">
        <v>16</v>
      </c>
    </row>
    <row r="388" spans="1:15" ht="15.75" customHeight="1" x14ac:dyDescent="0.3">
      <c r="A388" s="40" t="s">
        <v>1116</v>
      </c>
      <c r="B388" s="40" t="s">
        <v>305</v>
      </c>
      <c r="C388" s="40">
        <v>27</v>
      </c>
      <c r="D388" s="40" t="s">
        <v>120</v>
      </c>
      <c r="E388" s="41">
        <v>46</v>
      </c>
      <c r="F388" s="40" t="s">
        <v>128</v>
      </c>
      <c r="G388" s="40">
        <v>3</v>
      </c>
      <c r="H388" s="40" t="s">
        <v>57</v>
      </c>
      <c r="I388" s="40" t="s">
        <v>29</v>
      </c>
      <c r="J388" s="40" t="s">
        <v>46</v>
      </c>
      <c r="K388" s="40" t="s">
        <v>1117</v>
      </c>
      <c r="L388" s="41"/>
      <c r="M388" s="41">
        <v>61033.42</v>
      </c>
      <c r="N388" s="40"/>
      <c r="O388" s="45" t="s">
        <v>18</v>
      </c>
    </row>
    <row r="389" spans="1:15" ht="15.75" customHeight="1" x14ac:dyDescent="0.3">
      <c r="A389" s="43" t="s">
        <v>1118</v>
      </c>
      <c r="B389" s="43" t="s">
        <v>1119</v>
      </c>
      <c r="C389" s="43">
        <v>25</v>
      </c>
      <c r="D389" s="43" t="s">
        <v>120</v>
      </c>
      <c r="E389" s="44">
        <v>28.5</v>
      </c>
      <c r="F389" s="43" t="s">
        <v>128</v>
      </c>
      <c r="G389" s="43">
        <v>4</v>
      </c>
      <c r="H389" s="43" t="s">
        <v>57</v>
      </c>
      <c r="I389" s="43" t="s">
        <v>31</v>
      </c>
      <c r="J389" s="43" t="s">
        <v>40</v>
      </c>
      <c r="K389" s="43" t="s">
        <v>1120</v>
      </c>
      <c r="L389" s="44">
        <v>32155.03</v>
      </c>
      <c r="M389" s="44">
        <v>20685.18</v>
      </c>
      <c r="N389" s="43"/>
      <c r="O389" s="42" t="s">
        <v>16</v>
      </c>
    </row>
    <row r="390" spans="1:15" ht="15.75" customHeight="1" x14ac:dyDescent="0.3">
      <c r="A390" s="40" t="s">
        <v>1121</v>
      </c>
      <c r="B390" s="40" t="s">
        <v>1122</v>
      </c>
      <c r="C390" s="40">
        <v>68</v>
      </c>
      <c r="D390" s="40" t="s">
        <v>115</v>
      </c>
      <c r="E390" s="41">
        <v>35.4</v>
      </c>
      <c r="F390" s="40" t="s">
        <v>128</v>
      </c>
      <c r="G390" s="40">
        <v>0</v>
      </c>
      <c r="H390" s="40" t="s">
        <v>61</v>
      </c>
      <c r="I390" s="40" t="s">
        <v>28</v>
      </c>
      <c r="J390" s="40" t="s">
        <v>48</v>
      </c>
      <c r="K390" s="40" t="s">
        <v>1123</v>
      </c>
      <c r="L390" s="41">
        <v>14338.02</v>
      </c>
      <c r="M390" s="41">
        <v>8033.1</v>
      </c>
      <c r="N390" s="40" t="s">
        <v>75</v>
      </c>
      <c r="O390" s="45" t="s">
        <v>18</v>
      </c>
    </row>
    <row r="391" spans="1:15" ht="15.75" customHeight="1" x14ac:dyDescent="0.3">
      <c r="A391" s="43" t="s">
        <v>1124</v>
      </c>
      <c r="B391" s="43" t="s">
        <v>1125</v>
      </c>
      <c r="C391" s="43">
        <v>63</v>
      </c>
      <c r="D391" s="43" t="s">
        <v>120</v>
      </c>
      <c r="E391" s="44">
        <v>31.1</v>
      </c>
      <c r="F391" s="43" t="s">
        <v>128</v>
      </c>
      <c r="G391" s="43">
        <v>3</v>
      </c>
      <c r="H391" s="43" t="s">
        <v>63</v>
      </c>
      <c r="I391" s="43" t="s">
        <v>28</v>
      </c>
      <c r="J391" s="43" t="s">
        <v>49</v>
      </c>
      <c r="K391" s="43" t="s">
        <v>500</v>
      </c>
      <c r="L391" s="44">
        <v>23508.47</v>
      </c>
      <c r="M391" s="44">
        <v>14184.92</v>
      </c>
      <c r="N391" s="43" t="s">
        <v>75</v>
      </c>
      <c r="O391" s="42" t="s">
        <v>16</v>
      </c>
    </row>
    <row r="392" spans="1:15" ht="15.75" customHeight="1" x14ac:dyDescent="0.3">
      <c r="A392" s="40" t="s">
        <v>1126</v>
      </c>
      <c r="B392" s="40" t="s">
        <v>293</v>
      </c>
      <c r="C392" s="40">
        <v>38</v>
      </c>
      <c r="D392" s="40" t="s">
        <v>115</v>
      </c>
      <c r="E392" s="41">
        <v>34</v>
      </c>
      <c r="F392" s="40" t="s">
        <v>116</v>
      </c>
      <c r="G392" s="40">
        <v>3</v>
      </c>
      <c r="H392" s="40" t="s">
        <v>57</v>
      </c>
      <c r="I392" s="40" t="s">
        <v>31</v>
      </c>
      <c r="J392" s="40" t="s">
        <v>44</v>
      </c>
      <c r="K392" s="40" t="s">
        <v>1127</v>
      </c>
      <c r="L392" s="41">
        <v>6891.7</v>
      </c>
      <c r="M392" s="41">
        <v>3887.21</v>
      </c>
      <c r="N392" s="40"/>
      <c r="O392" s="45" t="s">
        <v>18</v>
      </c>
    </row>
    <row r="393" spans="1:15" ht="15.75" customHeight="1" x14ac:dyDescent="0.3">
      <c r="A393" s="43" t="s">
        <v>1128</v>
      </c>
      <c r="B393" s="43" t="s">
        <v>412</v>
      </c>
      <c r="C393" s="43">
        <v>69</v>
      </c>
      <c r="D393" s="43" t="s">
        <v>120</v>
      </c>
      <c r="E393" s="44">
        <v>34.299999999999997</v>
      </c>
      <c r="F393" s="43" t="s">
        <v>116</v>
      </c>
      <c r="G393" s="43">
        <v>1</v>
      </c>
      <c r="H393" s="43" t="s">
        <v>57</v>
      </c>
      <c r="I393" s="43" t="s">
        <v>28</v>
      </c>
      <c r="J393" s="43" t="s">
        <v>42</v>
      </c>
      <c r="K393" s="43" t="s">
        <v>1129</v>
      </c>
      <c r="L393" s="44">
        <v>25948.32</v>
      </c>
      <c r="M393" s="44">
        <v>13635.34</v>
      </c>
      <c r="N393" s="43"/>
      <c r="O393" s="42" t="s">
        <v>16</v>
      </c>
    </row>
    <row r="394" spans="1:15" ht="15.75" customHeight="1" x14ac:dyDescent="0.3">
      <c r="A394" s="40" t="s">
        <v>1130</v>
      </c>
      <c r="B394" s="40" t="s">
        <v>1131</v>
      </c>
      <c r="C394" s="40">
        <v>18</v>
      </c>
      <c r="D394" s="40" t="s">
        <v>124</v>
      </c>
      <c r="E394" s="41">
        <v>44.2</v>
      </c>
      <c r="F394" s="40" t="s">
        <v>128</v>
      </c>
      <c r="G394" s="40">
        <v>2</v>
      </c>
      <c r="H394" s="40" t="s">
        <v>63</v>
      </c>
      <c r="I394" s="40" t="s">
        <v>30</v>
      </c>
      <c r="J394" s="40" t="s">
        <v>48</v>
      </c>
      <c r="K394" s="40" t="s">
        <v>1132</v>
      </c>
      <c r="L394" s="41">
        <v>50729.919999999998</v>
      </c>
      <c r="M394" s="41">
        <v>50026.87</v>
      </c>
      <c r="N394" s="40"/>
      <c r="O394" s="42" t="s">
        <v>16</v>
      </c>
    </row>
    <row r="395" spans="1:15" ht="15.75" customHeight="1" x14ac:dyDescent="0.3">
      <c r="A395" s="43" t="s">
        <v>1133</v>
      </c>
      <c r="B395" s="43" t="s">
        <v>459</v>
      </c>
      <c r="C395" s="43">
        <v>33</v>
      </c>
      <c r="D395" s="43" t="s">
        <v>120</v>
      </c>
      <c r="E395" s="44">
        <v>44</v>
      </c>
      <c r="F395" s="43" t="s">
        <v>128</v>
      </c>
      <c r="G395" s="43">
        <v>3</v>
      </c>
      <c r="H395" s="43" t="s">
        <v>65</v>
      </c>
      <c r="I395" s="43" t="s">
        <v>30</v>
      </c>
      <c r="J395" s="43" t="s">
        <v>47</v>
      </c>
      <c r="K395" s="43" t="s">
        <v>1134</v>
      </c>
      <c r="L395" s="44">
        <v>18816.099999999999</v>
      </c>
      <c r="M395" s="44">
        <v>12464.49</v>
      </c>
      <c r="N395" s="43" t="s">
        <v>73</v>
      </c>
      <c r="O395" s="42" t="s">
        <v>16</v>
      </c>
    </row>
    <row r="396" spans="1:15" ht="15.75" customHeight="1" x14ac:dyDescent="0.3">
      <c r="A396" s="40" t="s">
        <v>1135</v>
      </c>
      <c r="B396" s="40" t="s">
        <v>1136</v>
      </c>
      <c r="C396" s="40">
        <v>61</v>
      </c>
      <c r="D396" s="40" t="s">
        <v>120</v>
      </c>
      <c r="E396" s="41">
        <v>30.2</v>
      </c>
      <c r="F396" s="40" t="s">
        <v>128</v>
      </c>
      <c r="G396" s="40">
        <v>3</v>
      </c>
      <c r="H396" s="40" t="s">
        <v>63</v>
      </c>
      <c r="I396" s="40" t="s">
        <v>29</v>
      </c>
      <c r="J396" s="40" t="s">
        <v>46</v>
      </c>
      <c r="K396" s="40" t="s">
        <v>150</v>
      </c>
      <c r="L396" s="41">
        <v>1331.95</v>
      </c>
      <c r="M396" s="41">
        <v>999.3</v>
      </c>
      <c r="N396" s="40"/>
      <c r="O396" s="45" t="s">
        <v>18</v>
      </c>
    </row>
    <row r="397" spans="1:15" ht="15.75" customHeight="1" x14ac:dyDescent="0.3">
      <c r="A397" s="43" t="s">
        <v>1137</v>
      </c>
      <c r="B397" s="43" t="s">
        <v>179</v>
      </c>
      <c r="C397" s="43">
        <v>72</v>
      </c>
      <c r="D397" s="43" t="s">
        <v>115</v>
      </c>
      <c r="E397" s="44"/>
      <c r="F397" s="43" t="s">
        <v>116</v>
      </c>
      <c r="G397" s="43">
        <v>0</v>
      </c>
      <c r="H397" s="43" t="s">
        <v>65</v>
      </c>
      <c r="I397" s="43" t="s">
        <v>28</v>
      </c>
      <c r="J397" s="43" t="s">
        <v>42</v>
      </c>
      <c r="K397" s="43" t="s">
        <v>1138</v>
      </c>
      <c r="L397" s="44">
        <v>64199.46</v>
      </c>
      <c r="M397" s="44">
        <v>42577.73</v>
      </c>
      <c r="N397" s="43"/>
      <c r="O397" s="45" t="s">
        <v>18</v>
      </c>
    </row>
    <row r="398" spans="1:15" ht="15.75" customHeight="1" x14ac:dyDescent="0.3">
      <c r="A398" s="40" t="s">
        <v>1139</v>
      </c>
      <c r="B398" s="40" t="s">
        <v>1106</v>
      </c>
      <c r="C398" s="40">
        <v>52</v>
      </c>
      <c r="D398" s="40" t="s">
        <v>124</v>
      </c>
      <c r="E398" s="41">
        <v>34.1</v>
      </c>
      <c r="F398" s="40" t="s">
        <v>128</v>
      </c>
      <c r="G398" s="40">
        <v>4</v>
      </c>
      <c r="H398" s="40" t="s">
        <v>65</v>
      </c>
      <c r="I398" s="40" t="s">
        <v>28</v>
      </c>
      <c r="J398" s="40" t="s">
        <v>47</v>
      </c>
      <c r="K398" s="40" t="s">
        <v>1140</v>
      </c>
      <c r="L398" s="41">
        <v>35338.78</v>
      </c>
      <c r="M398" s="41">
        <v>24684.05</v>
      </c>
      <c r="N398" s="40"/>
      <c r="O398" s="42" t="s">
        <v>16</v>
      </c>
    </row>
    <row r="399" spans="1:15" ht="15.75" customHeight="1" x14ac:dyDescent="0.3">
      <c r="A399" s="43" t="s">
        <v>1141</v>
      </c>
      <c r="B399" s="43" t="s">
        <v>1142</v>
      </c>
      <c r="C399" s="43">
        <v>41</v>
      </c>
      <c r="D399" s="43" t="s">
        <v>115</v>
      </c>
      <c r="E399" s="44">
        <v>39.1</v>
      </c>
      <c r="F399" s="43" t="s">
        <v>116</v>
      </c>
      <c r="G399" s="43">
        <v>1</v>
      </c>
      <c r="H399" s="43" t="s">
        <v>57</v>
      </c>
      <c r="I399" s="43" t="s">
        <v>29</v>
      </c>
      <c r="J399" s="43" t="s">
        <v>49</v>
      </c>
      <c r="K399" s="43" t="s">
        <v>1143</v>
      </c>
      <c r="L399" s="44">
        <v>99608.22</v>
      </c>
      <c r="M399" s="44">
        <v>50759.7</v>
      </c>
      <c r="N399" s="43"/>
      <c r="O399" s="42" t="s">
        <v>16</v>
      </c>
    </row>
    <row r="400" spans="1:15" ht="15.75" customHeight="1" x14ac:dyDescent="0.3">
      <c r="A400" s="40" t="s">
        <v>1144</v>
      </c>
      <c r="B400" s="40" t="s">
        <v>1145</v>
      </c>
      <c r="C400" s="40">
        <v>31</v>
      </c>
      <c r="D400" s="40" t="s">
        <v>115</v>
      </c>
      <c r="E400" s="41">
        <v>33.1</v>
      </c>
      <c r="F400" s="40" t="s">
        <v>116</v>
      </c>
      <c r="G400" s="40">
        <v>2</v>
      </c>
      <c r="H400" s="40" t="s">
        <v>65</v>
      </c>
      <c r="I400" s="40" t="s">
        <v>31</v>
      </c>
      <c r="J400" s="40" t="s">
        <v>40</v>
      </c>
      <c r="K400" s="40" t="s">
        <v>1146</v>
      </c>
      <c r="L400" s="41">
        <v>62692.45</v>
      </c>
      <c r="M400" s="41">
        <v>59423.47</v>
      </c>
      <c r="N400" s="40" t="s">
        <v>74</v>
      </c>
      <c r="O400" s="42" t="s">
        <v>16</v>
      </c>
    </row>
    <row r="401" spans="1:15" ht="15.75" customHeight="1" x14ac:dyDescent="0.3">
      <c r="A401" s="43" t="s">
        <v>1147</v>
      </c>
      <c r="B401" s="43" t="s">
        <v>1148</v>
      </c>
      <c r="C401" s="43">
        <v>52</v>
      </c>
      <c r="D401" s="43" t="s">
        <v>120</v>
      </c>
      <c r="E401" s="44">
        <v>42.4</v>
      </c>
      <c r="F401" s="43" t="s">
        <v>116</v>
      </c>
      <c r="G401" s="43">
        <v>0</v>
      </c>
      <c r="H401" s="43" t="s">
        <v>61</v>
      </c>
      <c r="I401" s="43" t="s">
        <v>32</v>
      </c>
      <c r="J401" s="43" t="s">
        <v>50</v>
      </c>
      <c r="K401" s="43" t="s">
        <v>1149</v>
      </c>
      <c r="L401" s="44">
        <v>56523.29</v>
      </c>
      <c r="M401" s="44">
        <v>38682.33</v>
      </c>
      <c r="N401" s="43"/>
      <c r="O401" s="42" t="s">
        <v>16</v>
      </c>
    </row>
    <row r="402" spans="1:15" ht="15.75" customHeight="1" x14ac:dyDescent="0.3">
      <c r="A402" s="40" t="s">
        <v>1150</v>
      </c>
      <c r="B402" s="40" t="s">
        <v>1017</v>
      </c>
      <c r="C402" s="40">
        <v>79</v>
      </c>
      <c r="D402" s="40" t="s">
        <v>115</v>
      </c>
      <c r="E402" s="41">
        <v>27</v>
      </c>
      <c r="F402" s="40" t="s">
        <v>116</v>
      </c>
      <c r="G402" s="40">
        <v>1</v>
      </c>
      <c r="H402" s="40" t="s">
        <v>59</v>
      </c>
      <c r="I402" s="40" t="s">
        <v>31</v>
      </c>
      <c r="J402" s="40" t="s">
        <v>44</v>
      </c>
      <c r="K402" s="40" t="s">
        <v>1151</v>
      </c>
      <c r="L402" s="41">
        <v>105928.19</v>
      </c>
      <c r="M402" s="41">
        <v>88898.63</v>
      </c>
      <c r="N402" s="40" t="s">
        <v>75</v>
      </c>
      <c r="O402" s="42" t="s">
        <v>16</v>
      </c>
    </row>
    <row r="403" spans="1:15" ht="15.75" customHeight="1" x14ac:dyDescent="0.3">
      <c r="A403" s="43" t="s">
        <v>1152</v>
      </c>
      <c r="B403" s="43" t="s">
        <v>114</v>
      </c>
      <c r="C403" s="43">
        <v>81</v>
      </c>
      <c r="D403" s="43" t="s">
        <v>124</v>
      </c>
      <c r="E403" s="44">
        <v>36.6</v>
      </c>
      <c r="F403" s="43" t="s">
        <v>128</v>
      </c>
      <c r="G403" s="43">
        <v>3</v>
      </c>
      <c r="H403" s="43" t="s">
        <v>65</v>
      </c>
      <c r="I403" s="43" t="s">
        <v>30</v>
      </c>
      <c r="J403" s="43" t="s">
        <v>42</v>
      </c>
      <c r="K403" s="43" t="s">
        <v>1153</v>
      </c>
      <c r="L403" s="44">
        <v>35514.639999999999</v>
      </c>
      <c r="M403" s="44">
        <v>25269.05</v>
      </c>
      <c r="N403" s="43" t="s">
        <v>75</v>
      </c>
      <c r="O403" s="45" t="s">
        <v>18</v>
      </c>
    </row>
    <row r="404" spans="1:15" ht="15.75" customHeight="1" x14ac:dyDescent="0.3">
      <c r="A404" s="40" t="s">
        <v>1154</v>
      </c>
      <c r="B404" s="40" t="s">
        <v>340</v>
      </c>
      <c r="C404" s="40">
        <v>68</v>
      </c>
      <c r="D404" s="40" t="s">
        <v>120</v>
      </c>
      <c r="E404" s="41">
        <v>48.2</v>
      </c>
      <c r="F404" s="40" t="s">
        <v>116</v>
      </c>
      <c r="G404" s="40">
        <v>4</v>
      </c>
      <c r="H404" s="40" t="s">
        <v>63</v>
      </c>
      <c r="I404" s="40" t="s">
        <v>30</v>
      </c>
      <c r="J404" s="40" t="s">
        <v>48</v>
      </c>
      <c r="K404" s="40" t="s">
        <v>1155</v>
      </c>
      <c r="L404" s="41">
        <v>65168.45</v>
      </c>
      <c r="M404" s="41">
        <v>47260.9</v>
      </c>
      <c r="N404" s="40" t="s">
        <v>73</v>
      </c>
      <c r="O404" s="45" t="s">
        <v>18</v>
      </c>
    </row>
    <row r="405" spans="1:15" ht="15.75" customHeight="1" x14ac:dyDescent="0.3">
      <c r="A405" s="43" t="s">
        <v>1156</v>
      </c>
      <c r="B405" s="43" t="s">
        <v>617</v>
      </c>
      <c r="C405" s="43">
        <v>18</v>
      </c>
      <c r="D405" s="43" t="s">
        <v>124</v>
      </c>
      <c r="E405" s="44">
        <v>28.1</v>
      </c>
      <c r="F405" s="43" t="s">
        <v>116</v>
      </c>
      <c r="G405" s="43">
        <v>2</v>
      </c>
      <c r="H405" s="43" t="s">
        <v>65</v>
      </c>
      <c r="I405" s="43" t="s">
        <v>31</v>
      </c>
      <c r="J405" s="43" t="s">
        <v>47</v>
      </c>
      <c r="K405" s="43" t="s">
        <v>1157</v>
      </c>
      <c r="L405" s="44">
        <v>58659.86</v>
      </c>
      <c r="M405" s="44">
        <v>43013.14</v>
      </c>
      <c r="N405" s="43"/>
      <c r="O405" s="45" t="s">
        <v>18</v>
      </c>
    </row>
    <row r="406" spans="1:15" ht="15.75" customHeight="1" x14ac:dyDescent="0.3">
      <c r="A406" s="40" t="s">
        <v>1158</v>
      </c>
      <c r="B406" s="40" t="s">
        <v>617</v>
      </c>
      <c r="C406" s="40">
        <v>32</v>
      </c>
      <c r="D406" s="40" t="s">
        <v>124</v>
      </c>
      <c r="E406" s="41">
        <v>19.8</v>
      </c>
      <c r="F406" s="40" t="s">
        <v>116</v>
      </c>
      <c r="G406" s="40">
        <v>4</v>
      </c>
      <c r="H406" s="40" t="s">
        <v>59</v>
      </c>
      <c r="I406" s="40" t="s">
        <v>28</v>
      </c>
      <c r="J406" s="40" t="s">
        <v>46</v>
      </c>
      <c r="K406" s="40" t="s">
        <v>1159</v>
      </c>
      <c r="L406" s="41">
        <v>9177.73</v>
      </c>
      <c r="M406" s="41">
        <v>5092.0200000000004</v>
      </c>
      <c r="N406" s="40" t="s">
        <v>74</v>
      </c>
      <c r="O406" s="45" t="s">
        <v>18</v>
      </c>
    </row>
    <row r="407" spans="1:15" ht="15.75" customHeight="1" x14ac:dyDescent="0.3">
      <c r="A407" s="43" t="s">
        <v>1160</v>
      </c>
      <c r="B407" s="43" t="s">
        <v>1161</v>
      </c>
      <c r="C407" s="43">
        <v>44</v>
      </c>
      <c r="D407" s="43" t="s">
        <v>115</v>
      </c>
      <c r="E407" s="44">
        <v>41.1</v>
      </c>
      <c r="F407" s="43" t="s">
        <v>116</v>
      </c>
      <c r="G407" s="43">
        <v>4</v>
      </c>
      <c r="H407" s="43" t="s">
        <v>63</v>
      </c>
      <c r="I407" s="43" t="s">
        <v>30</v>
      </c>
      <c r="J407" s="43" t="s">
        <v>49</v>
      </c>
      <c r="K407" s="43" t="s">
        <v>1162</v>
      </c>
      <c r="L407" s="44">
        <v>42109.2</v>
      </c>
      <c r="M407" s="44">
        <v>34403.15</v>
      </c>
      <c r="N407" s="43" t="s">
        <v>73</v>
      </c>
      <c r="O407" s="42" t="s">
        <v>16</v>
      </c>
    </row>
    <row r="408" spans="1:15" ht="15.75" customHeight="1" x14ac:dyDescent="0.3">
      <c r="A408" s="40" t="s">
        <v>1163</v>
      </c>
      <c r="B408" s="40" t="s">
        <v>1005</v>
      </c>
      <c r="C408" s="40">
        <v>84</v>
      </c>
      <c r="D408" s="40" t="s">
        <v>115</v>
      </c>
      <c r="E408" s="41">
        <v>41.1</v>
      </c>
      <c r="F408" s="40" t="s">
        <v>116</v>
      </c>
      <c r="G408" s="40">
        <v>1</v>
      </c>
      <c r="H408" s="40" t="s">
        <v>63</v>
      </c>
      <c r="I408" s="40" t="s">
        <v>30</v>
      </c>
      <c r="J408" s="40" t="s">
        <v>50</v>
      </c>
      <c r="K408" s="40" t="s">
        <v>1164</v>
      </c>
      <c r="L408" s="41">
        <v>82309.399999999994</v>
      </c>
      <c r="M408" s="41">
        <v>60898.16</v>
      </c>
      <c r="N408" s="40"/>
      <c r="O408" s="42" t="s">
        <v>16</v>
      </c>
    </row>
    <row r="409" spans="1:15" ht="15.75" customHeight="1" x14ac:dyDescent="0.3">
      <c r="A409" s="43" t="s">
        <v>1165</v>
      </c>
      <c r="B409" s="43" t="s">
        <v>251</v>
      </c>
      <c r="C409" s="43">
        <v>66</v>
      </c>
      <c r="D409" s="43" t="s">
        <v>124</v>
      </c>
      <c r="E409" s="44">
        <v>33</v>
      </c>
      <c r="F409" s="43" t="s">
        <v>128</v>
      </c>
      <c r="G409" s="43">
        <v>1</v>
      </c>
      <c r="H409" s="43" t="s">
        <v>65</v>
      </c>
      <c r="I409" s="43" t="s">
        <v>31</v>
      </c>
      <c r="J409" s="43" t="s">
        <v>46</v>
      </c>
      <c r="K409" s="43" t="s">
        <v>1166</v>
      </c>
      <c r="L409" s="44">
        <v>116623.23</v>
      </c>
      <c r="M409" s="44">
        <v>80684.37</v>
      </c>
      <c r="N409" s="43" t="s">
        <v>73</v>
      </c>
      <c r="O409" s="42" t="s">
        <v>16</v>
      </c>
    </row>
    <row r="410" spans="1:15" ht="15.75" customHeight="1" x14ac:dyDescent="0.3">
      <c r="A410" s="40" t="s">
        <v>1167</v>
      </c>
      <c r="B410" s="40" t="s">
        <v>426</v>
      </c>
      <c r="C410" s="40">
        <v>40</v>
      </c>
      <c r="D410" s="40" t="s">
        <v>124</v>
      </c>
      <c r="E410" s="41">
        <v>21.9</v>
      </c>
      <c r="F410" s="40" t="s">
        <v>116</v>
      </c>
      <c r="G410" s="40">
        <v>0</v>
      </c>
      <c r="H410" s="40" t="s">
        <v>59</v>
      </c>
      <c r="I410" s="40" t="s">
        <v>28</v>
      </c>
      <c r="J410" s="40" t="s">
        <v>46</v>
      </c>
      <c r="K410" s="40" t="s">
        <v>1168</v>
      </c>
      <c r="L410" s="41">
        <v>72522.89</v>
      </c>
      <c r="M410" s="41">
        <v>65559.47</v>
      </c>
      <c r="N410" s="40" t="s">
        <v>75</v>
      </c>
      <c r="O410" s="42" t="s">
        <v>16</v>
      </c>
    </row>
    <row r="411" spans="1:15" ht="15.75" customHeight="1" x14ac:dyDescent="0.3">
      <c r="A411" s="43" t="s">
        <v>1169</v>
      </c>
      <c r="B411" s="43" t="s">
        <v>1047</v>
      </c>
      <c r="C411" s="43">
        <v>52</v>
      </c>
      <c r="D411" s="43" t="s">
        <v>115</v>
      </c>
      <c r="E411" s="44">
        <v>27.2</v>
      </c>
      <c r="F411" s="43" t="s">
        <v>128</v>
      </c>
      <c r="G411" s="43">
        <v>2</v>
      </c>
      <c r="H411" s="43" t="s">
        <v>57</v>
      </c>
      <c r="I411" s="43" t="s">
        <v>28</v>
      </c>
      <c r="J411" s="43" t="s">
        <v>40</v>
      </c>
      <c r="K411" s="43" t="s">
        <v>1170</v>
      </c>
      <c r="L411" s="44">
        <v>4958</v>
      </c>
      <c r="M411" s="44">
        <v>3035.16</v>
      </c>
      <c r="N411" s="43"/>
      <c r="O411" s="45" t="s">
        <v>18</v>
      </c>
    </row>
    <row r="412" spans="1:15" ht="15.75" customHeight="1" x14ac:dyDescent="0.3">
      <c r="A412" s="40" t="s">
        <v>1171</v>
      </c>
      <c r="B412" s="40" t="s">
        <v>688</v>
      </c>
      <c r="C412" s="40">
        <v>35</v>
      </c>
      <c r="D412" s="40" t="s">
        <v>120</v>
      </c>
      <c r="E412" s="41">
        <v>43.9</v>
      </c>
      <c r="F412" s="40" t="s">
        <v>128</v>
      </c>
      <c r="G412" s="40">
        <v>1</v>
      </c>
      <c r="H412" s="40" t="s">
        <v>57</v>
      </c>
      <c r="I412" s="40" t="s">
        <v>31</v>
      </c>
      <c r="J412" s="40" t="s">
        <v>47</v>
      </c>
      <c r="K412" s="40" t="s">
        <v>591</v>
      </c>
      <c r="L412" s="41">
        <v>56373.58</v>
      </c>
      <c r="M412" s="41">
        <v>34575.1</v>
      </c>
      <c r="N412" s="40" t="s">
        <v>75</v>
      </c>
      <c r="O412" s="46" t="s">
        <v>17</v>
      </c>
    </row>
    <row r="413" spans="1:15" ht="15.75" customHeight="1" x14ac:dyDescent="0.3">
      <c r="A413" s="43" t="s">
        <v>1172</v>
      </c>
      <c r="B413" s="43" t="s">
        <v>1173</v>
      </c>
      <c r="C413" s="43">
        <v>64</v>
      </c>
      <c r="D413" s="43" t="s">
        <v>115</v>
      </c>
      <c r="E413" s="44">
        <v>40.9</v>
      </c>
      <c r="F413" s="43" t="s">
        <v>128</v>
      </c>
      <c r="G413" s="43">
        <v>4</v>
      </c>
      <c r="H413" s="43" t="s">
        <v>63</v>
      </c>
      <c r="I413" s="43" t="s">
        <v>29</v>
      </c>
      <c r="J413" s="43" t="s">
        <v>46</v>
      </c>
      <c r="K413" s="43" t="s">
        <v>1174</v>
      </c>
      <c r="L413" s="44">
        <v>23653.43</v>
      </c>
      <c r="M413" s="44">
        <v>22679.89</v>
      </c>
      <c r="N413" s="43"/>
      <c r="O413" s="42" t="s">
        <v>16</v>
      </c>
    </row>
    <row r="414" spans="1:15" ht="15.75" customHeight="1" x14ac:dyDescent="0.3">
      <c r="A414" s="40" t="s">
        <v>1175</v>
      </c>
      <c r="B414" s="40" t="s">
        <v>1176</v>
      </c>
      <c r="C414" s="40">
        <v>24</v>
      </c>
      <c r="D414" s="40" t="s">
        <v>115</v>
      </c>
      <c r="E414" s="41">
        <v>26.6</v>
      </c>
      <c r="F414" s="40" t="s">
        <v>116</v>
      </c>
      <c r="G414" s="40">
        <v>0</v>
      </c>
      <c r="H414" s="40" t="s">
        <v>57</v>
      </c>
      <c r="I414" s="40" t="s">
        <v>30</v>
      </c>
      <c r="J414" s="40" t="s">
        <v>40</v>
      </c>
      <c r="K414" s="40" t="s">
        <v>1177</v>
      </c>
      <c r="L414" s="41">
        <v>52245.07</v>
      </c>
      <c r="M414" s="41">
        <v>28470.99</v>
      </c>
      <c r="N414" s="40"/>
      <c r="O414" s="46" t="s">
        <v>17</v>
      </c>
    </row>
    <row r="415" spans="1:15" ht="15.75" customHeight="1" x14ac:dyDescent="0.3">
      <c r="A415" s="43" t="s">
        <v>1178</v>
      </c>
      <c r="B415" s="43" t="s">
        <v>1136</v>
      </c>
      <c r="C415" s="43">
        <v>21</v>
      </c>
      <c r="D415" s="43" t="s">
        <v>120</v>
      </c>
      <c r="E415" s="44">
        <v>22.7</v>
      </c>
      <c r="F415" s="43" t="s">
        <v>128</v>
      </c>
      <c r="G415" s="43">
        <v>1</v>
      </c>
      <c r="H415" s="43" t="s">
        <v>59</v>
      </c>
      <c r="I415" s="43" t="s">
        <v>30</v>
      </c>
      <c r="J415" s="43" t="s">
        <v>47</v>
      </c>
      <c r="K415" s="43" t="s">
        <v>1179</v>
      </c>
      <c r="L415" s="44">
        <v>112397.03</v>
      </c>
      <c r="M415" s="44">
        <v>109742.38</v>
      </c>
      <c r="N415" s="43"/>
      <c r="O415" s="42" t="s">
        <v>16</v>
      </c>
    </row>
    <row r="416" spans="1:15" ht="15.75" customHeight="1" x14ac:dyDescent="0.3">
      <c r="A416" s="40" t="s">
        <v>1180</v>
      </c>
      <c r="B416" s="40" t="s">
        <v>137</v>
      </c>
      <c r="C416" s="40">
        <v>61</v>
      </c>
      <c r="D416" s="40" t="s">
        <v>124</v>
      </c>
      <c r="E416" s="41">
        <v>21.9</v>
      </c>
      <c r="F416" s="40" t="s">
        <v>116</v>
      </c>
      <c r="G416" s="40">
        <v>0</v>
      </c>
      <c r="H416" s="40" t="s">
        <v>65</v>
      </c>
      <c r="I416" s="40" t="s">
        <v>32</v>
      </c>
      <c r="J416" s="40" t="s">
        <v>46</v>
      </c>
      <c r="K416" s="40" t="s">
        <v>1181</v>
      </c>
      <c r="L416" s="41"/>
      <c r="M416" s="41">
        <v>91675.69</v>
      </c>
      <c r="N416" s="40" t="s">
        <v>74</v>
      </c>
      <c r="O416" s="46" t="s">
        <v>17</v>
      </c>
    </row>
    <row r="417" spans="1:15" ht="15.75" customHeight="1" x14ac:dyDescent="0.3">
      <c r="A417" s="43" t="s">
        <v>1182</v>
      </c>
      <c r="B417" s="43" t="s">
        <v>1183</v>
      </c>
      <c r="C417" s="43">
        <v>52</v>
      </c>
      <c r="D417" s="43" t="s">
        <v>120</v>
      </c>
      <c r="E417" s="44">
        <v>28.2</v>
      </c>
      <c r="F417" s="43" t="s">
        <v>116</v>
      </c>
      <c r="G417" s="43">
        <v>3</v>
      </c>
      <c r="H417" s="43" t="s">
        <v>61</v>
      </c>
      <c r="I417" s="43" t="s">
        <v>29</v>
      </c>
      <c r="J417" s="43" t="s">
        <v>42</v>
      </c>
      <c r="K417" s="43" t="s">
        <v>335</v>
      </c>
      <c r="L417" s="44">
        <v>42827.46</v>
      </c>
      <c r="M417" s="44">
        <v>37293.25</v>
      </c>
      <c r="N417" s="43" t="s">
        <v>73</v>
      </c>
      <c r="O417" s="42" t="s">
        <v>16</v>
      </c>
    </row>
    <row r="418" spans="1:15" ht="15.75" customHeight="1" x14ac:dyDescent="0.3">
      <c r="A418" s="40" t="s">
        <v>1184</v>
      </c>
      <c r="B418" s="40" t="s">
        <v>236</v>
      </c>
      <c r="C418" s="40">
        <v>58</v>
      </c>
      <c r="D418" s="40" t="s">
        <v>124</v>
      </c>
      <c r="E418" s="41">
        <v>24.1</v>
      </c>
      <c r="F418" s="40" t="s">
        <v>128</v>
      </c>
      <c r="G418" s="40">
        <v>2</v>
      </c>
      <c r="H418" s="40" t="s">
        <v>65</v>
      </c>
      <c r="I418" s="40" t="s">
        <v>30</v>
      </c>
      <c r="J418" s="40" t="s">
        <v>44</v>
      </c>
      <c r="K418" s="40" t="s">
        <v>1185</v>
      </c>
      <c r="L418" s="41">
        <v>108683.24</v>
      </c>
      <c r="M418" s="41">
        <v>57245</v>
      </c>
      <c r="N418" s="40"/>
      <c r="O418" s="46" t="s">
        <v>17</v>
      </c>
    </row>
    <row r="419" spans="1:15" ht="15.75" customHeight="1" x14ac:dyDescent="0.3">
      <c r="A419" s="43" t="s">
        <v>1186</v>
      </c>
      <c r="B419" s="43" t="s">
        <v>1187</v>
      </c>
      <c r="C419" s="43">
        <v>37</v>
      </c>
      <c r="D419" s="43" t="s">
        <v>124</v>
      </c>
      <c r="E419" s="44">
        <v>32.200000000000003</v>
      </c>
      <c r="F419" s="43" t="s">
        <v>116</v>
      </c>
      <c r="G419" s="43">
        <v>4</v>
      </c>
      <c r="H419" s="43" t="s">
        <v>57</v>
      </c>
      <c r="I419" s="43" t="s">
        <v>30</v>
      </c>
      <c r="J419" s="43" t="s">
        <v>47</v>
      </c>
      <c r="K419" s="43" t="s">
        <v>1188</v>
      </c>
      <c r="L419" s="44">
        <v>6698.71</v>
      </c>
      <c r="M419" s="44">
        <v>6646.16</v>
      </c>
      <c r="N419" s="43"/>
      <c r="O419" s="42" t="s">
        <v>16</v>
      </c>
    </row>
    <row r="420" spans="1:15" ht="15.75" customHeight="1" x14ac:dyDescent="0.3">
      <c r="A420" s="40" t="s">
        <v>1189</v>
      </c>
      <c r="B420" s="40" t="s">
        <v>1190</v>
      </c>
      <c r="C420" s="40">
        <v>47</v>
      </c>
      <c r="D420" s="40" t="s">
        <v>115</v>
      </c>
      <c r="E420" s="41">
        <v>20.2</v>
      </c>
      <c r="F420" s="40" t="s">
        <v>128</v>
      </c>
      <c r="G420" s="40">
        <v>1</v>
      </c>
      <c r="H420" s="40" t="s">
        <v>59</v>
      </c>
      <c r="I420" s="40" t="s">
        <v>32</v>
      </c>
      <c r="J420" s="40" t="s">
        <v>49</v>
      </c>
      <c r="K420" s="40" t="s">
        <v>569</v>
      </c>
      <c r="L420" s="41">
        <v>106993.06</v>
      </c>
      <c r="M420" s="41">
        <v>77476.14</v>
      </c>
      <c r="N420" s="40"/>
      <c r="O420" s="46" t="s">
        <v>17</v>
      </c>
    </row>
    <row r="421" spans="1:15" ht="15.75" customHeight="1" x14ac:dyDescent="0.3">
      <c r="A421" s="43" t="s">
        <v>1191</v>
      </c>
      <c r="B421" s="43" t="s">
        <v>357</v>
      </c>
      <c r="C421" s="43">
        <v>60</v>
      </c>
      <c r="D421" s="43" t="s">
        <v>120</v>
      </c>
      <c r="E421" s="44">
        <v>31.8</v>
      </c>
      <c r="F421" s="43" t="s">
        <v>128</v>
      </c>
      <c r="G421" s="43">
        <v>4</v>
      </c>
      <c r="H421" s="43" t="s">
        <v>61</v>
      </c>
      <c r="I421" s="43" t="s">
        <v>32</v>
      </c>
      <c r="J421" s="43" t="s">
        <v>49</v>
      </c>
      <c r="K421" s="43" t="s">
        <v>1192</v>
      </c>
      <c r="L421" s="44">
        <v>84279.89</v>
      </c>
      <c r="M421" s="44">
        <v>44810.85</v>
      </c>
      <c r="N421" s="43"/>
      <c r="O421" s="46" t="s">
        <v>17</v>
      </c>
    </row>
    <row r="422" spans="1:15" ht="15.75" customHeight="1" x14ac:dyDescent="0.3">
      <c r="A422" s="40" t="s">
        <v>1193</v>
      </c>
      <c r="B422" s="40" t="s">
        <v>352</v>
      </c>
      <c r="C422" s="40">
        <v>47</v>
      </c>
      <c r="D422" s="40" t="s">
        <v>124</v>
      </c>
      <c r="E422" s="41">
        <v>34.9</v>
      </c>
      <c r="F422" s="40" t="s">
        <v>116</v>
      </c>
      <c r="G422" s="40">
        <v>2</v>
      </c>
      <c r="H422" s="40" t="s">
        <v>59</v>
      </c>
      <c r="I422" s="40" t="s">
        <v>29</v>
      </c>
      <c r="J422" s="40" t="s">
        <v>46</v>
      </c>
      <c r="K422" s="40" t="s">
        <v>1194</v>
      </c>
      <c r="L422" s="41">
        <v>111090.9</v>
      </c>
      <c r="M422" s="41">
        <v>87456.93</v>
      </c>
      <c r="N422" s="40"/>
      <c r="O422" s="45" t="s">
        <v>18</v>
      </c>
    </row>
    <row r="423" spans="1:15" ht="15.75" customHeight="1" x14ac:dyDescent="0.3">
      <c r="A423" s="43" t="s">
        <v>1195</v>
      </c>
      <c r="B423" s="43" t="s">
        <v>259</v>
      </c>
      <c r="C423" s="43">
        <v>72</v>
      </c>
      <c r="D423" s="43" t="s">
        <v>124</v>
      </c>
      <c r="E423" s="44">
        <v>15.9</v>
      </c>
      <c r="F423" s="43" t="s">
        <v>128</v>
      </c>
      <c r="G423" s="43">
        <v>4</v>
      </c>
      <c r="H423" s="43" t="s">
        <v>57</v>
      </c>
      <c r="I423" s="43" t="s">
        <v>28</v>
      </c>
      <c r="J423" s="43" t="s">
        <v>42</v>
      </c>
      <c r="K423" s="43" t="s">
        <v>1196</v>
      </c>
      <c r="L423" s="44">
        <v>45176.26</v>
      </c>
      <c r="M423" s="44">
        <v>31005.08</v>
      </c>
      <c r="N423" s="43"/>
      <c r="O423" s="42" t="s">
        <v>16</v>
      </c>
    </row>
    <row r="424" spans="1:15" ht="15.75" customHeight="1" x14ac:dyDescent="0.3">
      <c r="A424" s="40" t="s">
        <v>1197</v>
      </c>
      <c r="B424" s="40" t="s">
        <v>1125</v>
      </c>
      <c r="C424" s="40">
        <v>53</v>
      </c>
      <c r="D424" s="40" t="s">
        <v>115</v>
      </c>
      <c r="E424" s="41">
        <v>29</v>
      </c>
      <c r="F424" s="40" t="s">
        <v>116</v>
      </c>
      <c r="G424" s="40">
        <v>2</v>
      </c>
      <c r="H424" s="40" t="s">
        <v>59</v>
      </c>
      <c r="I424" s="40" t="s">
        <v>32</v>
      </c>
      <c r="J424" s="40" t="s">
        <v>40</v>
      </c>
      <c r="K424" s="40" t="s">
        <v>1198</v>
      </c>
      <c r="L424" s="41">
        <v>69212.800000000003</v>
      </c>
      <c r="M424" s="41">
        <v>58529.85</v>
      </c>
      <c r="N424" s="40" t="s">
        <v>74</v>
      </c>
      <c r="O424" s="42" t="s">
        <v>16</v>
      </c>
    </row>
    <row r="425" spans="1:15" ht="15.75" customHeight="1" x14ac:dyDescent="0.3">
      <c r="A425" s="43" t="s">
        <v>1199</v>
      </c>
      <c r="B425" s="43" t="s">
        <v>352</v>
      </c>
      <c r="C425" s="43">
        <v>32</v>
      </c>
      <c r="D425" s="43" t="s">
        <v>124</v>
      </c>
      <c r="E425" s="44">
        <v>44.1</v>
      </c>
      <c r="F425" s="43" t="s">
        <v>116</v>
      </c>
      <c r="G425" s="43">
        <v>3</v>
      </c>
      <c r="H425" s="43" t="s">
        <v>63</v>
      </c>
      <c r="I425" s="43" t="s">
        <v>30</v>
      </c>
      <c r="J425" s="43" t="s">
        <v>49</v>
      </c>
      <c r="K425" s="43" t="s">
        <v>594</v>
      </c>
      <c r="L425" s="44">
        <v>102223.54</v>
      </c>
      <c r="M425" s="44">
        <v>61511.5</v>
      </c>
      <c r="N425" s="43" t="s">
        <v>75</v>
      </c>
      <c r="O425" s="42" t="s">
        <v>16</v>
      </c>
    </row>
    <row r="426" spans="1:15" ht="15.75" customHeight="1" x14ac:dyDescent="0.3">
      <c r="A426" s="40" t="s">
        <v>1200</v>
      </c>
      <c r="B426" s="40" t="s">
        <v>299</v>
      </c>
      <c r="C426" s="40">
        <v>23</v>
      </c>
      <c r="D426" s="40" t="s">
        <v>115</v>
      </c>
      <c r="E426" s="41">
        <v>25.2</v>
      </c>
      <c r="F426" s="40" t="s">
        <v>116</v>
      </c>
      <c r="G426" s="40">
        <v>2</v>
      </c>
      <c r="H426" s="40" t="s">
        <v>59</v>
      </c>
      <c r="I426" s="40" t="s">
        <v>30</v>
      </c>
      <c r="J426" s="40" t="s">
        <v>50</v>
      </c>
      <c r="K426" s="40" t="s">
        <v>1201</v>
      </c>
      <c r="L426" s="41">
        <v>71025.59</v>
      </c>
      <c r="M426" s="41">
        <v>36002.53</v>
      </c>
      <c r="N426" s="40" t="s">
        <v>74</v>
      </c>
      <c r="O426" s="42" t="s">
        <v>16</v>
      </c>
    </row>
    <row r="427" spans="1:15" ht="15.75" customHeight="1" x14ac:dyDescent="0.3">
      <c r="A427" s="43" t="s">
        <v>1202</v>
      </c>
      <c r="B427" s="43" t="s">
        <v>200</v>
      </c>
      <c r="C427" s="43">
        <v>19</v>
      </c>
      <c r="D427" s="43" t="s">
        <v>120</v>
      </c>
      <c r="E427" s="44">
        <v>46.2</v>
      </c>
      <c r="F427" s="43" t="s">
        <v>128</v>
      </c>
      <c r="G427" s="43">
        <v>3</v>
      </c>
      <c r="H427" s="43" t="s">
        <v>65</v>
      </c>
      <c r="I427" s="43" t="s">
        <v>31</v>
      </c>
      <c r="J427" s="43" t="s">
        <v>42</v>
      </c>
      <c r="K427" s="43" t="s">
        <v>1203</v>
      </c>
      <c r="L427" s="44">
        <v>27722.91</v>
      </c>
      <c r="M427" s="44">
        <v>14718.76</v>
      </c>
      <c r="N427" s="43" t="s">
        <v>73</v>
      </c>
      <c r="O427" s="46" t="s">
        <v>17</v>
      </c>
    </row>
    <row r="428" spans="1:15" ht="15.75" customHeight="1" x14ac:dyDescent="0.3">
      <c r="A428" s="40" t="s">
        <v>1204</v>
      </c>
      <c r="B428" s="40" t="s">
        <v>374</v>
      </c>
      <c r="C428" s="40">
        <v>49</v>
      </c>
      <c r="D428" s="40" t="s">
        <v>124</v>
      </c>
      <c r="E428" s="41">
        <v>17.399999999999999</v>
      </c>
      <c r="F428" s="40" t="s">
        <v>116</v>
      </c>
      <c r="G428" s="40">
        <v>0</v>
      </c>
      <c r="H428" s="40" t="s">
        <v>61</v>
      </c>
      <c r="I428" s="40" t="s">
        <v>30</v>
      </c>
      <c r="J428" s="40" t="s">
        <v>49</v>
      </c>
      <c r="K428" s="40" t="s">
        <v>1205</v>
      </c>
      <c r="L428" s="41">
        <v>82246.77</v>
      </c>
      <c r="M428" s="41">
        <v>57544.98</v>
      </c>
      <c r="N428" s="40"/>
      <c r="O428" s="42" t="s">
        <v>16</v>
      </c>
    </row>
    <row r="429" spans="1:15" ht="15.75" customHeight="1" x14ac:dyDescent="0.3">
      <c r="A429" s="43" t="s">
        <v>1206</v>
      </c>
      <c r="B429" s="43" t="s">
        <v>1026</v>
      </c>
      <c r="C429" s="43">
        <v>75</v>
      </c>
      <c r="D429" s="43" t="s">
        <v>124</v>
      </c>
      <c r="E429" s="44">
        <v>38.799999999999997</v>
      </c>
      <c r="F429" s="43" t="s">
        <v>116</v>
      </c>
      <c r="G429" s="43">
        <v>0</v>
      </c>
      <c r="H429" s="43" t="s">
        <v>59</v>
      </c>
      <c r="I429" s="43" t="s">
        <v>30</v>
      </c>
      <c r="J429" s="43" t="s">
        <v>46</v>
      </c>
      <c r="K429" s="43" t="s">
        <v>1207</v>
      </c>
      <c r="L429" s="44">
        <v>22837.25</v>
      </c>
      <c r="M429" s="44">
        <v>13714.96</v>
      </c>
      <c r="N429" s="43" t="s">
        <v>75</v>
      </c>
      <c r="O429" s="46" t="s">
        <v>17</v>
      </c>
    </row>
    <row r="430" spans="1:15" ht="15.75" customHeight="1" x14ac:dyDescent="0.3">
      <c r="A430" s="40" t="s">
        <v>1208</v>
      </c>
      <c r="B430" s="40" t="s">
        <v>325</v>
      </c>
      <c r="C430" s="40">
        <v>79</v>
      </c>
      <c r="D430" s="40" t="s">
        <v>124</v>
      </c>
      <c r="E430" s="41">
        <v>31.4</v>
      </c>
      <c r="F430" s="40" t="s">
        <v>128</v>
      </c>
      <c r="G430" s="40">
        <v>3</v>
      </c>
      <c r="H430" s="40" t="s">
        <v>59</v>
      </c>
      <c r="I430" s="40" t="s">
        <v>28</v>
      </c>
      <c r="J430" s="40" t="s">
        <v>42</v>
      </c>
      <c r="K430" s="40" t="s">
        <v>1209</v>
      </c>
      <c r="L430" s="41">
        <v>26391.51</v>
      </c>
      <c r="M430" s="41">
        <v>24136.86</v>
      </c>
      <c r="N430" s="40"/>
      <c r="O430" s="42" t="s">
        <v>16</v>
      </c>
    </row>
    <row r="431" spans="1:15" ht="15.75" customHeight="1" x14ac:dyDescent="0.3">
      <c r="A431" s="43" t="s">
        <v>1210</v>
      </c>
      <c r="B431" s="43" t="s">
        <v>1029</v>
      </c>
      <c r="C431" s="43">
        <v>70</v>
      </c>
      <c r="D431" s="43" t="s">
        <v>124</v>
      </c>
      <c r="E431" s="44">
        <v>41</v>
      </c>
      <c r="F431" s="43" t="s">
        <v>116</v>
      </c>
      <c r="G431" s="43">
        <v>0</v>
      </c>
      <c r="H431" s="43" t="s">
        <v>59</v>
      </c>
      <c r="I431" s="43" t="s">
        <v>32</v>
      </c>
      <c r="J431" s="43" t="s">
        <v>42</v>
      </c>
      <c r="K431" s="43" t="s">
        <v>1211</v>
      </c>
      <c r="L431" s="44">
        <v>17877.54</v>
      </c>
      <c r="M431" s="44">
        <v>10569.46</v>
      </c>
      <c r="N431" s="43"/>
      <c r="O431" s="42" t="s">
        <v>16</v>
      </c>
    </row>
    <row r="432" spans="1:15" ht="15.75" customHeight="1" x14ac:dyDescent="0.3">
      <c r="A432" s="40" t="s">
        <v>1212</v>
      </c>
      <c r="B432" s="40" t="s">
        <v>525</v>
      </c>
      <c r="C432" s="40">
        <v>74</v>
      </c>
      <c r="D432" s="40" t="s">
        <v>124</v>
      </c>
      <c r="E432" s="41">
        <v>33.299999999999997</v>
      </c>
      <c r="F432" s="40" t="s">
        <v>116</v>
      </c>
      <c r="G432" s="40">
        <v>3</v>
      </c>
      <c r="H432" s="40" t="s">
        <v>57</v>
      </c>
      <c r="I432" s="40" t="s">
        <v>30</v>
      </c>
      <c r="J432" s="40" t="s">
        <v>47</v>
      </c>
      <c r="K432" s="40" t="s">
        <v>1213</v>
      </c>
      <c r="L432" s="41">
        <v>14434.25</v>
      </c>
      <c r="M432" s="41">
        <v>8162.88</v>
      </c>
      <c r="N432" s="40" t="s">
        <v>73</v>
      </c>
      <c r="O432" s="46" t="s">
        <v>17</v>
      </c>
    </row>
    <row r="433" spans="1:15" ht="15.75" customHeight="1" x14ac:dyDescent="0.3">
      <c r="A433" s="43" t="s">
        <v>1214</v>
      </c>
      <c r="B433" s="43" t="s">
        <v>365</v>
      </c>
      <c r="C433" s="43">
        <v>39</v>
      </c>
      <c r="D433" s="43" t="s">
        <v>120</v>
      </c>
      <c r="E433" s="44">
        <v>21.5</v>
      </c>
      <c r="F433" s="43" t="s">
        <v>116</v>
      </c>
      <c r="G433" s="43">
        <v>4</v>
      </c>
      <c r="H433" s="43" t="s">
        <v>59</v>
      </c>
      <c r="I433" s="43" t="s">
        <v>30</v>
      </c>
      <c r="J433" s="43" t="s">
        <v>49</v>
      </c>
      <c r="K433" s="43" t="s">
        <v>1215</v>
      </c>
      <c r="L433" s="44">
        <v>41161.050000000003</v>
      </c>
      <c r="M433" s="44">
        <v>25958.17</v>
      </c>
      <c r="N433" s="43"/>
      <c r="O433" s="45" t="s">
        <v>18</v>
      </c>
    </row>
    <row r="434" spans="1:15" ht="15.75" customHeight="1" x14ac:dyDescent="0.3">
      <c r="A434" s="40" t="s">
        <v>1216</v>
      </c>
      <c r="B434" s="40" t="s">
        <v>1217</v>
      </c>
      <c r="C434" s="40">
        <v>61</v>
      </c>
      <c r="D434" s="40" t="s">
        <v>120</v>
      </c>
      <c r="E434" s="41">
        <v>44.4</v>
      </c>
      <c r="F434" s="40" t="s">
        <v>116</v>
      </c>
      <c r="G434" s="40">
        <v>2</v>
      </c>
      <c r="H434" s="40" t="s">
        <v>63</v>
      </c>
      <c r="I434" s="40" t="s">
        <v>28</v>
      </c>
      <c r="J434" s="40" t="s">
        <v>46</v>
      </c>
      <c r="K434" s="40" t="s">
        <v>1218</v>
      </c>
      <c r="L434" s="41">
        <v>88496.86</v>
      </c>
      <c r="M434" s="41">
        <v>83593.03</v>
      </c>
      <c r="N434" s="40"/>
      <c r="O434" s="42" t="s">
        <v>16</v>
      </c>
    </row>
    <row r="435" spans="1:15" ht="15.75" customHeight="1" x14ac:dyDescent="0.3">
      <c r="A435" s="43" t="s">
        <v>1219</v>
      </c>
      <c r="B435" s="43" t="s">
        <v>977</v>
      </c>
      <c r="C435" s="43">
        <v>52</v>
      </c>
      <c r="D435" s="43" t="s">
        <v>115</v>
      </c>
      <c r="E435" s="44">
        <v>46.3</v>
      </c>
      <c r="F435" s="43" t="s">
        <v>128</v>
      </c>
      <c r="G435" s="43">
        <v>3</v>
      </c>
      <c r="H435" s="43" t="s">
        <v>61</v>
      </c>
      <c r="I435" s="43" t="s">
        <v>28</v>
      </c>
      <c r="J435" s="43" t="s">
        <v>42</v>
      </c>
      <c r="K435" s="43" t="s">
        <v>1220</v>
      </c>
      <c r="L435" s="44">
        <v>87239.41</v>
      </c>
      <c r="M435" s="44">
        <v>73651.06</v>
      </c>
      <c r="N435" s="43"/>
      <c r="O435" s="46" t="s">
        <v>17</v>
      </c>
    </row>
    <row r="436" spans="1:15" ht="15.75" customHeight="1" x14ac:dyDescent="0.3">
      <c r="A436" s="40" t="s">
        <v>1221</v>
      </c>
      <c r="B436" s="40" t="s">
        <v>1222</v>
      </c>
      <c r="C436" s="40">
        <v>79</v>
      </c>
      <c r="D436" s="40" t="s">
        <v>120</v>
      </c>
      <c r="E436" s="41">
        <v>40.6</v>
      </c>
      <c r="F436" s="40" t="s">
        <v>116</v>
      </c>
      <c r="G436" s="40">
        <v>4</v>
      </c>
      <c r="H436" s="40" t="s">
        <v>59</v>
      </c>
      <c r="I436" s="40" t="s">
        <v>29</v>
      </c>
      <c r="J436" s="40" t="s">
        <v>46</v>
      </c>
      <c r="K436" s="40" t="s">
        <v>1223</v>
      </c>
      <c r="L436" s="41">
        <v>65397.09</v>
      </c>
      <c r="M436" s="41">
        <v>40324.980000000003</v>
      </c>
      <c r="N436" s="40"/>
      <c r="O436" s="42" t="s">
        <v>16</v>
      </c>
    </row>
    <row r="437" spans="1:15" ht="15.75" customHeight="1" x14ac:dyDescent="0.3">
      <c r="A437" s="43" t="s">
        <v>1224</v>
      </c>
      <c r="B437" s="43" t="s">
        <v>1225</v>
      </c>
      <c r="C437" s="43">
        <v>19</v>
      </c>
      <c r="D437" s="43" t="s">
        <v>124</v>
      </c>
      <c r="E437" s="44">
        <v>28.5</v>
      </c>
      <c r="F437" s="43" t="s">
        <v>128</v>
      </c>
      <c r="G437" s="43">
        <v>2</v>
      </c>
      <c r="H437" s="43" t="s">
        <v>65</v>
      </c>
      <c r="I437" s="43" t="s">
        <v>30</v>
      </c>
      <c r="J437" s="43" t="s">
        <v>40</v>
      </c>
      <c r="K437" s="43" t="s">
        <v>421</v>
      </c>
      <c r="L437" s="44">
        <v>109038.09</v>
      </c>
      <c r="M437" s="44">
        <v>77486.31</v>
      </c>
      <c r="N437" s="43"/>
      <c r="O437" s="45" t="s">
        <v>18</v>
      </c>
    </row>
    <row r="438" spans="1:15" ht="15.75" customHeight="1" x14ac:dyDescent="0.3">
      <c r="A438" s="40" t="s">
        <v>1226</v>
      </c>
      <c r="B438" s="40" t="s">
        <v>1227</v>
      </c>
      <c r="C438" s="40">
        <v>83</v>
      </c>
      <c r="D438" s="40" t="s">
        <v>124</v>
      </c>
      <c r="E438" s="41">
        <v>21.9</v>
      </c>
      <c r="F438" s="40" t="s">
        <v>116</v>
      </c>
      <c r="G438" s="40">
        <v>2</v>
      </c>
      <c r="H438" s="40" t="s">
        <v>57</v>
      </c>
      <c r="I438" s="40" t="s">
        <v>32</v>
      </c>
      <c r="J438" s="40" t="s">
        <v>40</v>
      </c>
      <c r="K438" s="40" t="s">
        <v>852</v>
      </c>
      <c r="L438" s="41">
        <v>33859.519999999997</v>
      </c>
      <c r="M438" s="41">
        <v>19959.099999999999</v>
      </c>
      <c r="N438" s="40"/>
      <c r="O438" s="45" t="s">
        <v>18</v>
      </c>
    </row>
    <row r="439" spans="1:15" ht="15.75" customHeight="1" x14ac:dyDescent="0.3">
      <c r="A439" s="43" t="s">
        <v>1228</v>
      </c>
      <c r="B439" s="43" t="s">
        <v>1227</v>
      </c>
      <c r="C439" s="43">
        <v>42</v>
      </c>
      <c r="D439" s="43" t="s">
        <v>120</v>
      </c>
      <c r="E439" s="44">
        <v>18.2</v>
      </c>
      <c r="F439" s="43" t="s">
        <v>128</v>
      </c>
      <c r="G439" s="43">
        <v>0</v>
      </c>
      <c r="H439" s="43" t="s">
        <v>65</v>
      </c>
      <c r="I439" s="43" t="s">
        <v>32</v>
      </c>
      <c r="J439" s="43" t="s">
        <v>44</v>
      </c>
      <c r="K439" s="43" t="s">
        <v>1229</v>
      </c>
      <c r="L439" s="44">
        <v>32296.39</v>
      </c>
      <c r="M439" s="44">
        <v>16936.349999999999</v>
      </c>
      <c r="N439" s="43"/>
      <c r="O439" s="46" t="s">
        <v>17</v>
      </c>
    </row>
    <row r="440" spans="1:15" ht="15.75" customHeight="1" x14ac:dyDescent="0.3">
      <c r="A440" s="40" t="s">
        <v>1230</v>
      </c>
      <c r="B440" s="40" t="s">
        <v>1231</v>
      </c>
      <c r="C440" s="40">
        <v>65</v>
      </c>
      <c r="D440" s="40" t="s">
        <v>120</v>
      </c>
      <c r="E440" s="41">
        <v>41.7</v>
      </c>
      <c r="F440" s="40" t="s">
        <v>116</v>
      </c>
      <c r="G440" s="40">
        <v>4</v>
      </c>
      <c r="H440" s="40" t="s">
        <v>57</v>
      </c>
      <c r="I440" s="40" t="s">
        <v>31</v>
      </c>
      <c r="J440" s="40" t="s">
        <v>47</v>
      </c>
      <c r="K440" s="40" t="s">
        <v>1232</v>
      </c>
      <c r="L440" s="41">
        <v>90575.65</v>
      </c>
      <c r="M440" s="41">
        <v>49176.34</v>
      </c>
      <c r="N440" s="40"/>
      <c r="O440" s="46" t="s">
        <v>17</v>
      </c>
    </row>
    <row r="441" spans="1:15" ht="15.75" customHeight="1" x14ac:dyDescent="0.3">
      <c r="A441" s="43" t="s">
        <v>1233</v>
      </c>
      <c r="B441" s="43" t="s">
        <v>1234</v>
      </c>
      <c r="C441" s="43">
        <v>45</v>
      </c>
      <c r="D441" s="43" t="s">
        <v>124</v>
      </c>
      <c r="E441" s="44">
        <v>23.5</v>
      </c>
      <c r="F441" s="43" t="s">
        <v>128</v>
      </c>
      <c r="G441" s="43">
        <v>0</v>
      </c>
      <c r="H441" s="43" t="s">
        <v>61</v>
      </c>
      <c r="I441" s="43" t="s">
        <v>29</v>
      </c>
      <c r="J441" s="43" t="s">
        <v>46</v>
      </c>
      <c r="K441" s="43" t="s">
        <v>1235</v>
      </c>
      <c r="L441" s="44">
        <v>85993.61</v>
      </c>
      <c r="M441" s="44">
        <v>60736.52</v>
      </c>
      <c r="N441" s="43"/>
      <c r="O441" s="46" t="s">
        <v>17</v>
      </c>
    </row>
    <row r="442" spans="1:15" ht="15.75" customHeight="1" x14ac:dyDescent="0.3">
      <c r="A442" s="40" t="s">
        <v>1236</v>
      </c>
      <c r="B442" s="40" t="s">
        <v>1237</v>
      </c>
      <c r="C442" s="40">
        <v>25</v>
      </c>
      <c r="D442" s="40" t="s">
        <v>120</v>
      </c>
      <c r="E442" s="41">
        <v>36.6</v>
      </c>
      <c r="F442" s="40" t="s">
        <v>116</v>
      </c>
      <c r="G442" s="40">
        <v>2</v>
      </c>
      <c r="H442" s="40" t="s">
        <v>59</v>
      </c>
      <c r="I442" s="40" t="s">
        <v>32</v>
      </c>
      <c r="J442" s="40" t="s">
        <v>49</v>
      </c>
      <c r="K442" s="40" t="s">
        <v>1238</v>
      </c>
      <c r="L442" s="41">
        <v>39922.550000000003</v>
      </c>
      <c r="M442" s="41">
        <v>21134.57</v>
      </c>
      <c r="N442" s="40" t="s">
        <v>75</v>
      </c>
      <c r="O442" s="45" t="s">
        <v>18</v>
      </c>
    </row>
    <row r="443" spans="1:15" ht="15.75" customHeight="1" x14ac:dyDescent="0.3">
      <c r="A443" s="43" t="s">
        <v>1239</v>
      </c>
      <c r="B443" s="43" t="s">
        <v>1240</v>
      </c>
      <c r="C443" s="43">
        <v>76</v>
      </c>
      <c r="D443" s="43" t="s">
        <v>115</v>
      </c>
      <c r="E443" s="44">
        <v>43.7</v>
      </c>
      <c r="F443" s="43" t="s">
        <v>128</v>
      </c>
      <c r="G443" s="43">
        <v>2</v>
      </c>
      <c r="H443" s="43" t="s">
        <v>65</v>
      </c>
      <c r="I443" s="43" t="s">
        <v>28</v>
      </c>
      <c r="J443" s="43" t="s">
        <v>46</v>
      </c>
      <c r="K443" s="43" t="s">
        <v>433</v>
      </c>
      <c r="L443" s="44">
        <v>109988.05</v>
      </c>
      <c r="M443" s="44">
        <v>71989.8</v>
      </c>
      <c r="N443" s="43"/>
      <c r="O443" s="45" t="s">
        <v>18</v>
      </c>
    </row>
    <row r="444" spans="1:15" ht="15.75" customHeight="1" x14ac:dyDescent="0.3">
      <c r="A444" s="40" t="s">
        <v>1241</v>
      </c>
      <c r="B444" s="40" t="s">
        <v>736</v>
      </c>
      <c r="C444" s="40">
        <v>21</v>
      </c>
      <c r="D444" s="40" t="s">
        <v>115</v>
      </c>
      <c r="E444" s="41">
        <v>32</v>
      </c>
      <c r="F444" s="40" t="s">
        <v>116</v>
      </c>
      <c r="G444" s="40">
        <v>4</v>
      </c>
      <c r="H444" s="40" t="s">
        <v>65</v>
      </c>
      <c r="I444" s="40" t="s">
        <v>29</v>
      </c>
      <c r="J444" s="40" t="s">
        <v>44</v>
      </c>
      <c r="K444" s="40" t="s">
        <v>1242</v>
      </c>
      <c r="L444" s="41">
        <v>97889.27</v>
      </c>
      <c r="M444" s="41">
        <v>78915.37</v>
      </c>
      <c r="N444" s="40"/>
      <c r="O444" s="42" t="s">
        <v>16</v>
      </c>
    </row>
    <row r="445" spans="1:15" ht="15.75" customHeight="1" x14ac:dyDescent="0.3">
      <c r="A445" s="43" t="s">
        <v>1243</v>
      </c>
      <c r="B445" s="43" t="s">
        <v>812</v>
      </c>
      <c r="C445" s="43">
        <v>25</v>
      </c>
      <c r="D445" s="43" t="s">
        <v>120</v>
      </c>
      <c r="E445" s="44">
        <v>37.299999999999997</v>
      </c>
      <c r="F445" s="43" t="s">
        <v>116</v>
      </c>
      <c r="G445" s="43">
        <v>3</v>
      </c>
      <c r="H445" s="43" t="s">
        <v>65</v>
      </c>
      <c r="I445" s="43" t="s">
        <v>32</v>
      </c>
      <c r="J445" s="43" t="s">
        <v>42</v>
      </c>
      <c r="K445" s="43" t="s">
        <v>874</v>
      </c>
      <c r="L445" s="44">
        <v>32266.15</v>
      </c>
      <c r="M445" s="44">
        <v>26354.01</v>
      </c>
      <c r="N445" s="43"/>
      <c r="O445" s="42" t="s">
        <v>16</v>
      </c>
    </row>
    <row r="446" spans="1:15" ht="15.75" customHeight="1" x14ac:dyDescent="0.3">
      <c r="A446" s="40" t="s">
        <v>1244</v>
      </c>
      <c r="B446" s="40" t="s">
        <v>1245</v>
      </c>
      <c r="C446" s="40">
        <v>71</v>
      </c>
      <c r="D446" s="40" t="s">
        <v>124</v>
      </c>
      <c r="E446" s="41">
        <v>24.8</v>
      </c>
      <c r="F446" s="40" t="s">
        <v>128</v>
      </c>
      <c r="G446" s="40">
        <v>4</v>
      </c>
      <c r="H446" s="40" t="s">
        <v>63</v>
      </c>
      <c r="I446" s="40" t="s">
        <v>28</v>
      </c>
      <c r="J446" s="40" t="s">
        <v>40</v>
      </c>
      <c r="K446" s="40" t="s">
        <v>1246</v>
      </c>
      <c r="L446" s="41">
        <v>55058.12</v>
      </c>
      <c r="M446" s="41">
        <v>32721.88</v>
      </c>
      <c r="N446" s="40"/>
      <c r="O446" s="42" t="s">
        <v>16</v>
      </c>
    </row>
    <row r="447" spans="1:15" ht="15.75" customHeight="1" x14ac:dyDescent="0.3">
      <c r="A447" s="43" t="s">
        <v>1247</v>
      </c>
      <c r="B447" s="43" t="s">
        <v>1248</v>
      </c>
      <c r="C447" s="43">
        <v>75</v>
      </c>
      <c r="D447" s="43" t="s">
        <v>115</v>
      </c>
      <c r="E447" s="44">
        <v>29.6</v>
      </c>
      <c r="F447" s="43" t="s">
        <v>128</v>
      </c>
      <c r="G447" s="43">
        <v>0</v>
      </c>
      <c r="H447" s="43" t="s">
        <v>63</v>
      </c>
      <c r="I447" s="43" t="s">
        <v>28</v>
      </c>
      <c r="J447" s="43" t="s">
        <v>40</v>
      </c>
      <c r="K447" s="43" t="s">
        <v>1113</v>
      </c>
      <c r="L447" s="44">
        <v>31763.91</v>
      </c>
      <c r="M447" s="44">
        <v>29695.56</v>
      </c>
      <c r="N447" s="43"/>
      <c r="O447" s="42" t="s">
        <v>16</v>
      </c>
    </row>
    <row r="448" spans="1:15" ht="15.75" customHeight="1" x14ac:dyDescent="0.3">
      <c r="A448" s="40" t="s">
        <v>1249</v>
      </c>
      <c r="B448" s="40" t="s">
        <v>747</v>
      </c>
      <c r="C448" s="40">
        <v>56</v>
      </c>
      <c r="D448" s="40" t="s">
        <v>115</v>
      </c>
      <c r="E448" s="41"/>
      <c r="F448" s="40" t="s">
        <v>128</v>
      </c>
      <c r="G448" s="40">
        <v>0</v>
      </c>
      <c r="H448" s="40" t="s">
        <v>63</v>
      </c>
      <c r="I448" s="40" t="s">
        <v>32</v>
      </c>
      <c r="J448" s="40" t="s">
        <v>46</v>
      </c>
      <c r="K448" s="40" t="s">
        <v>1250</v>
      </c>
      <c r="L448" s="41">
        <v>29676.7</v>
      </c>
      <c r="M448" s="41">
        <v>16822.82</v>
      </c>
      <c r="N448" s="40" t="s">
        <v>73</v>
      </c>
      <c r="O448" s="46" t="s">
        <v>17</v>
      </c>
    </row>
    <row r="449" spans="1:15" ht="15.75" customHeight="1" x14ac:dyDescent="0.3">
      <c r="A449" s="43" t="s">
        <v>1251</v>
      </c>
      <c r="B449" s="43" t="s">
        <v>1252</v>
      </c>
      <c r="C449" s="43">
        <v>29</v>
      </c>
      <c r="D449" s="43" t="s">
        <v>124</v>
      </c>
      <c r="E449" s="44">
        <v>34.799999999999997</v>
      </c>
      <c r="F449" s="43" t="s">
        <v>128</v>
      </c>
      <c r="G449" s="43">
        <v>0</v>
      </c>
      <c r="H449" s="43" t="s">
        <v>63</v>
      </c>
      <c r="I449" s="43" t="s">
        <v>29</v>
      </c>
      <c r="J449" s="43" t="s">
        <v>48</v>
      </c>
      <c r="K449" s="43" t="s">
        <v>1253</v>
      </c>
      <c r="L449" s="44">
        <v>109451.23</v>
      </c>
      <c r="M449" s="44">
        <v>96409.05</v>
      </c>
      <c r="N449" s="43"/>
      <c r="O449" s="45" t="s">
        <v>18</v>
      </c>
    </row>
    <row r="450" spans="1:15" ht="15.75" customHeight="1" x14ac:dyDescent="0.3">
      <c r="A450" s="40" t="s">
        <v>1254</v>
      </c>
      <c r="B450" s="40" t="s">
        <v>406</v>
      </c>
      <c r="C450" s="40">
        <v>56</v>
      </c>
      <c r="D450" s="40" t="s">
        <v>124</v>
      </c>
      <c r="E450" s="41">
        <v>34.9</v>
      </c>
      <c r="F450" s="40" t="s">
        <v>128</v>
      </c>
      <c r="G450" s="40">
        <v>3</v>
      </c>
      <c r="H450" s="40" t="s">
        <v>63</v>
      </c>
      <c r="I450" s="40" t="s">
        <v>32</v>
      </c>
      <c r="J450" s="40" t="s">
        <v>49</v>
      </c>
      <c r="K450" s="40" t="s">
        <v>1255</v>
      </c>
      <c r="L450" s="41">
        <v>74325.16</v>
      </c>
      <c r="M450" s="41">
        <v>67023.490000000005</v>
      </c>
      <c r="N450" s="40" t="s">
        <v>75</v>
      </c>
      <c r="O450" s="42" t="s">
        <v>16</v>
      </c>
    </row>
    <row r="451" spans="1:15" ht="15.75" customHeight="1" x14ac:dyDescent="0.3">
      <c r="A451" s="43" t="s">
        <v>1256</v>
      </c>
      <c r="B451" s="43" t="s">
        <v>1257</v>
      </c>
      <c r="C451" s="43">
        <v>53</v>
      </c>
      <c r="D451" s="43" t="s">
        <v>115</v>
      </c>
      <c r="E451" s="44">
        <v>30.3</v>
      </c>
      <c r="F451" s="43" t="s">
        <v>116</v>
      </c>
      <c r="G451" s="43">
        <v>4</v>
      </c>
      <c r="H451" s="43" t="s">
        <v>59</v>
      </c>
      <c r="I451" s="43" t="s">
        <v>32</v>
      </c>
      <c r="J451" s="43" t="s">
        <v>44</v>
      </c>
      <c r="K451" s="43" t="s">
        <v>1258</v>
      </c>
      <c r="L451" s="44">
        <v>17515.02</v>
      </c>
      <c r="M451" s="44">
        <v>10210.32</v>
      </c>
      <c r="N451" s="43"/>
      <c r="O451" s="46" t="s">
        <v>17</v>
      </c>
    </row>
    <row r="452" spans="1:15" ht="15.75" customHeight="1" x14ac:dyDescent="0.3">
      <c r="A452" s="40" t="s">
        <v>1259</v>
      </c>
      <c r="B452" s="40" t="s">
        <v>812</v>
      </c>
      <c r="C452" s="40">
        <v>54</v>
      </c>
      <c r="D452" s="40" t="s">
        <v>124</v>
      </c>
      <c r="E452" s="41">
        <v>16.100000000000001</v>
      </c>
      <c r="F452" s="40" t="s">
        <v>116</v>
      </c>
      <c r="G452" s="40">
        <v>4</v>
      </c>
      <c r="H452" s="40" t="s">
        <v>65</v>
      </c>
      <c r="I452" s="40" t="s">
        <v>32</v>
      </c>
      <c r="J452" s="40" t="s">
        <v>48</v>
      </c>
      <c r="K452" s="40" t="s">
        <v>1260</v>
      </c>
      <c r="L452" s="41">
        <v>13606.83</v>
      </c>
      <c r="M452" s="41">
        <v>11035.23</v>
      </c>
      <c r="N452" s="40"/>
      <c r="O452" s="42" t="s">
        <v>16</v>
      </c>
    </row>
    <row r="453" spans="1:15" ht="15.75" customHeight="1" x14ac:dyDescent="0.3">
      <c r="A453" s="43" t="s">
        <v>1261</v>
      </c>
      <c r="B453" s="43" t="s">
        <v>1262</v>
      </c>
      <c r="C453" s="43">
        <v>25</v>
      </c>
      <c r="D453" s="43" t="s">
        <v>124</v>
      </c>
      <c r="E453" s="44">
        <v>33.1</v>
      </c>
      <c r="F453" s="43" t="s">
        <v>116</v>
      </c>
      <c r="G453" s="43">
        <v>0</v>
      </c>
      <c r="H453" s="43" t="s">
        <v>65</v>
      </c>
      <c r="I453" s="43" t="s">
        <v>30</v>
      </c>
      <c r="J453" s="43" t="s">
        <v>46</v>
      </c>
      <c r="K453" s="43" t="s">
        <v>1263</v>
      </c>
      <c r="L453" s="44">
        <v>46510.83</v>
      </c>
      <c r="M453" s="44">
        <v>43594.57</v>
      </c>
      <c r="N453" s="43"/>
      <c r="O453" s="42" t="s">
        <v>16</v>
      </c>
    </row>
    <row r="454" spans="1:15" ht="15.75" customHeight="1" x14ac:dyDescent="0.3">
      <c r="A454" s="40" t="s">
        <v>1264</v>
      </c>
      <c r="B454" s="40" t="s">
        <v>1136</v>
      </c>
      <c r="C454" s="40">
        <v>20</v>
      </c>
      <c r="D454" s="40" t="s">
        <v>124</v>
      </c>
      <c r="E454" s="41">
        <v>30.3</v>
      </c>
      <c r="F454" s="40" t="s">
        <v>128</v>
      </c>
      <c r="G454" s="40">
        <v>0</v>
      </c>
      <c r="H454" s="40" t="s">
        <v>63</v>
      </c>
      <c r="I454" s="40" t="s">
        <v>29</v>
      </c>
      <c r="J454" s="40" t="s">
        <v>44</v>
      </c>
      <c r="K454" s="40" t="s">
        <v>1265</v>
      </c>
      <c r="L454" s="41">
        <v>42135.23</v>
      </c>
      <c r="M454" s="41">
        <v>25358.36</v>
      </c>
      <c r="N454" s="40"/>
      <c r="O454" s="45" t="s">
        <v>18</v>
      </c>
    </row>
    <row r="455" spans="1:15" ht="15.75" customHeight="1" x14ac:dyDescent="0.3">
      <c r="A455" s="43" t="s">
        <v>1266</v>
      </c>
      <c r="B455" s="43" t="s">
        <v>1217</v>
      </c>
      <c r="C455" s="43">
        <v>52</v>
      </c>
      <c r="D455" s="43" t="s">
        <v>120</v>
      </c>
      <c r="E455" s="44">
        <v>38.299999999999997</v>
      </c>
      <c r="F455" s="43" t="s">
        <v>128</v>
      </c>
      <c r="G455" s="43">
        <v>0</v>
      </c>
      <c r="H455" s="43" t="s">
        <v>59</v>
      </c>
      <c r="I455" s="43" t="s">
        <v>28</v>
      </c>
      <c r="J455" s="43" t="s">
        <v>50</v>
      </c>
      <c r="K455" s="43" t="s">
        <v>1267</v>
      </c>
      <c r="L455" s="44">
        <v>114089.22</v>
      </c>
      <c r="M455" s="44">
        <v>62112.14</v>
      </c>
      <c r="N455" s="43"/>
      <c r="O455" s="42" t="s">
        <v>16</v>
      </c>
    </row>
    <row r="456" spans="1:15" ht="15.75" customHeight="1" x14ac:dyDescent="0.3">
      <c r="A456" s="40" t="s">
        <v>1268</v>
      </c>
      <c r="B456" s="40" t="s">
        <v>1234</v>
      </c>
      <c r="C456" s="40">
        <v>23</v>
      </c>
      <c r="D456" s="40" t="s">
        <v>115</v>
      </c>
      <c r="E456" s="41">
        <v>21.3</v>
      </c>
      <c r="F456" s="40" t="s">
        <v>116</v>
      </c>
      <c r="G456" s="40">
        <v>2</v>
      </c>
      <c r="H456" s="40" t="s">
        <v>59</v>
      </c>
      <c r="I456" s="40" t="s">
        <v>31</v>
      </c>
      <c r="J456" s="40" t="s">
        <v>48</v>
      </c>
      <c r="K456" s="40" t="s">
        <v>1269</v>
      </c>
      <c r="L456" s="41">
        <v>97764.51</v>
      </c>
      <c r="M456" s="41">
        <v>59413.83</v>
      </c>
      <c r="N456" s="40" t="s">
        <v>73</v>
      </c>
      <c r="O456" s="42" t="s">
        <v>16</v>
      </c>
    </row>
    <row r="457" spans="1:15" ht="15.75" customHeight="1" x14ac:dyDescent="0.3">
      <c r="A457" s="43" t="s">
        <v>1270</v>
      </c>
      <c r="B457" s="43" t="s">
        <v>1052</v>
      </c>
      <c r="C457" s="43">
        <v>83</v>
      </c>
      <c r="D457" s="43" t="s">
        <v>115</v>
      </c>
      <c r="E457" s="44">
        <v>49.8</v>
      </c>
      <c r="F457" s="43" t="s">
        <v>128</v>
      </c>
      <c r="G457" s="43">
        <v>1</v>
      </c>
      <c r="H457" s="43" t="s">
        <v>61</v>
      </c>
      <c r="I457" s="43" t="s">
        <v>28</v>
      </c>
      <c r="J457" s="43" t="s">
        <v>42</v>
      </c>
      <c r="K457" s="43" t="s">
        <v>1271</v>
      </c>
      <c r="L457" s="44">
        <v>118221.33</v>
      </c>
      <c r="M457" s="44">
        <v>107065.61</v>
      </c>
      <c r="N457" s="43"/>
      <c r="O457" s="45" t="s">
        <v>18</v>
      </c>
    </row>
    <row r="458" spans="1:15" ht="15.75" customHeight="1" x14ac:dyDescent="0.3">
      <c r="A458" s="40" t="s">
        <v>1272</v>
      </c>
      <c r="B458" s="40" t="s">
        <v>426</v>
      </c>
      <c r="C458" s="40">
        <v>33</v>
      </c>
      <c r="D458" s="40" t="s">
        <v>120</v>
      </c>
      <c r="E458" s="41">
        <v>47.6</v>
      </c>
      <c r="F458" s="40" t="s">
        <v>116</v>
      </c>
      <c r="G458" s="40">
        <v>3</v>
      </c>
      <c r="H458" s="40" t="s">
        <v>63</v>
      </c>
      <c r="I458" s="40" t="s">
        <v>32</v>
      </c>
      <c r="J458" s="40" t="s">
        <v>47</v>
      </c>
      <c r="K458" s="40" t="s">
        <v>1273</v>
      </c>
      <c r="L458" s="41">
        <v>111899.48</v>
      </c>
      <c r="M458" s="41">
        <v>72818.100000000006</v>
      </c>
      <c r="N458" s="40" t="s">
        <v>75</v>
      </c>
      <c r="O458" s="42" t="s">
        <v>16</v>
      </c>
    </row>
    <row r="459" spans="1:15" ht="15.75" customHeight="1" x14ac:dyDescent="0.3">
      <c r="A459" s="43" t="s">
        <v>1274</v>
      </c>
      <c r="B459" s="43" t="s">
        <v>377</v>
      </c>
      <c r="C459" s="43">
        <v>74</v>
      </c>
      <c r="D459" s="43" t="s">
        <v>120</v>
      </c>
      <c r="E459" s="44">
        <v>41.2</v>
      </c>
      <c r="F459" s="43" t="s">
        <v>116</v>
      </c>
      <c r="G459" s="43">
        <v>3</v>
      </c>
      <c r="H459" s="43" t="s">
        <v>57</v>
      </c>
      <c r="I459" s="43" t="s">
        <v>31</v>
      </c>
      <c r="J459" s="43" t="s">
        <v>46</v>
      </c>
      <c r="K459" s="43" t="s">
        <v>588</v>
      </c>
      <c r="L459" s="44">
        <v>92199.679999999993</v>
      </c>
      <c r="M459" s="44">
        <v>81738.06</v>
      </c>
      <c r="N459" s="43" t="s">
        <v>75</v>
      </c>
      <c r="O459" s="46" t="s">
        <v>17</v>
      </c>
    </row>
    <row r="460" spans="1:15" ht="15.75" customHeight="1" x14ac:dyDescent="0.3">
      <c r="A460" s="40" t="s">
        <v>1275</v>
      </c>
      <c r="B460" s="40" t="s">
        <v>1176</v>
      </c>
      <c r="C460" s="40">
        <v>58</v>
      </c>
      <c r="D460" s="40" t="s">
        <v>120</v>
      </c>
      <c r="E460" s="41">
        <v>26.9</v>
      </c>
      <c r="F460" s="40" t="s">
        <v>116</v>
      </c>
      <c r="G460" s="40">
        <v>0</v>
      </c>
      <c r="H460" s="40" t="s">
        <v>59</v>
      </c>
      <c r="I460" s="40" t="s">
        <v>30</v>
      </c>
      <c r="J460" s="40" t="s">
        <v>46</v>
      </c>
      <c r="K460" s="40" t="s">
        <v>672</v>
      </c>
      <c r="L460" s="41">
        <v>71336.63</v>
      </c>
      <c r="M460" s="41">
        <v>48311.66</v>
      </c>
      <c r="N460" s="40" t="s">
        <v>75</v>
      </c>
      <c r="O460" s="46" t="s">
        <v>17</v>
      </c>
    </row>
    <row r="461" spans="1:15" ht="15.75" customHeight="1" x14ac:dyDescent="0.3">
      <c r="A461" s="43" t="s">
        <v>1276</v>
      </c>
      <c r="B461" s="43" t="s">
        <v>1277</v>
      </c>
      <c r="C461" s="43">
        <v>48</v>
      </c>
      <c r="D461" s="43" t="s">
        <v>115</v>
      </c>
      <c r="E461" s="44">
        <v>34.700000000000003</v>
      </c>
      <c r="F461" s="43" t="s">
        <v>128</v>
      </c>
      <c r="G461" s="43">
        <v>2</v>
      </c>
      <c r="H461" s="43" t="s">
        <v>61</v>
      </c>
      <c r="I461" s="43" t="s">
        <v>29</v>
      </c>
      <c r="J461" s="43" t="s">
        <v>46</v>
      </c>
      <c r="K461" s="43" t="s">
        <v>1278</v>
      </c>
      <c r="L461" s="44">
        <v>47238.16</v>
      </c>
      <c r="M461" s="44">
        <v>43758.23</v>
      </c>
      <c r="N461" s="43" t="s">
        <v>74</v>
      </c>
      <c r="O461" s="42" t="s">
        <v>16</v>
      </c>
    </row>
    <row r="462" spans="1:15" ht="15.75" customHeight="1" x14ac:dyDescent="0.3">
      <c r="A462" s="40" t="s">
        <v>1279</v>
      </c>
      <c r="B462" s="40" t="s">
        <v>1280</v>
      </c>
      <c r="C462" s="40">
        <v>55</v>
      </c>
      <c r="D462" s="40" t="s">
        <v>115</v>
      </c>
      <c r="E462" s="41">
        <v>33.200000000000003</v>
      </c>
      <c r="F462" s="40" t="s">
        <v>116</v>
      </c>
      <c r="G462" s="40">
        <v>1</v>
      </c>
      <c r="H462" s="40" t="s">
        <v>59</v>
      </c>
      <c r="I462" s="40" t="s">
        <v>32</v>
      </c>
      <c r="J462" s="40" t="s">
        <v>46</v>
      </c>
      <c r="K462" s="40" t="s">
        <v>1281</v>
      </c>
      <c r="L462" s="41">
        <v>98115.5</v>
      </c>
      <c r="M462" s="41">
        <v>68330</v>
      </c>
      <c r="N462" s="40"/>
      <c r="O462" s="42" t="s">
        <v>16</v>
      </c>
    </row>
    <row r="463" spans="1:15" ht="15.75" customHeight="1" x14ac:dyDescent="0.3">
      <c r="A463" s="43" t="s">
        <v>1282</v>
      </c>
      <c r="B463" s="43" t="s">
        <v>742</v>
      </c>
      <c r="C463" s="43">
        <v>23</v>
      </c>
      <c r="D463" s="43" t="s">
        <v>115</v>
      </c>
      <c r="E463" s="44">
        <v>41.2</v>
      </c>
      <c r="F463" s="43" t="s">
        <v>116</v>
      </c>
      <c r="G463" s="43">
        <v>0</v>
      </c>
      <c r="H463" s="43" t="s">
        <v>57</v>
      </c>
      <c r="I463" s="43" t="s">
        <v>31</v>
      </c>
      <c r="J463" s="43" t="s">
        <v>48</v>
      </c>
      <c r="K463" s="43" t="s">
        <v>1283</v>
      </c>
      <c r="L463" s="44">
        <v>25289.97</v>
      </c>
      <c r="M463" s="44">
        <v>21621.41</v>
      </c>
      <c r="N463" s="43"/>
      <c r="O463" s="45" t="s">
        <v>18</v>
      </c>
    </row>
    <row r="464" spans="1:15" ht="15.75" customHeight="1" x14ac:dyDescent="0.3">
      <c r="A464" s="40" t="s">
        <v>1284</v>
      </c>
      <c r="B464" s="40" t="s">
        <v>1285</v>
      </c>
      <c r="C464" s="40">
        <v>18</v>
      </c>
      <c r="D464" s="40" t="s">
        <v>115</v>
      </c>
      <c r="E464" s="41">
        <v>30.3</v>
      </c>
      <c r="F464" s="40" t="s">
        <v>116</v>
      </c>
      <c r="G464" s="40">
        <v>0</v>
      </c>
      <c r="H464" s="40" t="s">
        <v>57</v>
      </c>
      <c r="I464" s="40" t="s">
        <v>28</v>
      </c>
      <c r="J464" s="40" t="s">
        <v>48</v>
      </c>
      <c r="K464" s="40" t="s">
        <v>1286</v>
      </c>
      <c r="L464" s="41">
        <v>95633.51</v>
      </c>
      <c r="M464" s="41">
        <v>81070.350000000006</v>
      </c>
      <c r="N464" s="40"/>
      <c r="O464" s="42" t="s">
        <v>16</v>
      </c>
    </row>
    <row r="465" spans="1:15" ht="15.75" customHeight="1" x14ac:dyDescent="0.3">
      <c r="A465" s="43" t="s">
        <v>1287</v>
      </c>
      <c r="B465" s="43" t="s">
        <v>1017</v>
      </c>
      <c r="C465" s="43">
        <v>43</v>
      </c>
      <c r="D465" s="43" t="s">
        <v>115</v>
      </c>
      <c r="E465" s="44">
        <v>32.200000000000003</v>
      </c>
      <c r="F465" s="43" t="s">
        <v>116</v>
      </c>
      <c r="G465" s="43">
        <v>0</v>
      </c>
      <c r="H465" s="43" t="s">
        <v>57</v>
      </c>
      <c r="I465" s="43" t="s">
        <v>30</v>
      </c>
      <c r="J465" s="43" t="s">
        <v>44</v>
      </c>
      <c r="K465" s="43" t="s">
        <v>1288</v>
      </c>
      <c r="L465" s="44">
        <v>46676.66</v>
      </c>
      <c r="M465" s="44">
        <v>23993.37</v>
      </c>
      <c r="N465" s="43" t="s">
        <v>75</v>
      </c>
      <c r="O465" s="45" t="s">
        <v>18</v>
      </c>
    </row>
    <row r="466" spans="1:15" ht="15.75" customHeight="1" x14ac:dyDescent="0.3">
      <c r="A466" s="40" t="s">
        <v>1289</v>
      </c>
      <c r="B466" s="40" t="s">
        <v>1290</v>
      </c>
      <c r="C466" s="40">
        <v>44</v>
      </c>
      <c r="D466" s="40" t="s">
        <v>120</v>
      </c>
      <c r="E466" s="41">
        <v>41.3</v>
      </c>
      <c r="F466" s="40" t="s">
        <v>128</v>
      </c>
      <c r="G466" s="40">
        <v>1</v>
      </c>
      <c r="H466" s="40" t="s">
        <v>63</v>
      </c>
      <c r="I466" s="40" t="s">
        <v>28</v>
      </c>
      <c r="J466" s="40" t="s">
        <v>46</v>
      </c>
      <c r="K466" s="40" t="s">
        <v>1291</v>
      </c>
      <c r="L466" s="41">
        <v>91288.91</v>
      </c>
      <c r="M466" s="41">
        <v>55044.81</v>
      </c>
      <c r="N466" s="40" t="s">
        <v>74</v>
      </c>
      <c r="O466" s="42" t="s">
        <v>16</v>
      </c>
    </row>
    <row r="467" spans="1:15" ht="15.75" customHeight="1" x14ac:dyDescent="0.3">
      <c r="A467" s="43" t="s">
        <v>1292</v>
      </c>
      <c r="B467" s="43" t="s">
        <v>566</v>
      </c>
      <c r="C467" s="43">
        <v>41</v>
      </c>
      <c r="D467" s="43" t="s">
        <v>120</v>
      </c>
      <c r="E467" s="44">
        <v>29.8</v>
      </c>
      <c r="F467" s="43" t="s">
        <v>128</v>
      </c>
      <c r="G467" s="43">
        <v>2</v>
      </c>
      <c r="H467" s="43" t="s">
        <v>61</v>
      </c>
      <c r="I467" s="43" t="s">
        <v>29</v>
      </c>
      <c r="J467" s="43" t="s">
        <v>48</v>
      </c>
      <c r="K467" s="43" t="s">
        <v>1293</v>
      </c>
      <c r="L467" s="44">
        <v>57087.86</v>
      </c>
      <c r="M467" s="44">
        <v>28554.98</v>
      </c>
      <c r="N467" s="43"/>
      <c r="O467" s="45" t="s">
        <v>18</v>
      </c>
    </row>
    <row r="468" spans="1:15" ht="15.75" customHeight="1" x14ac:dyDescent="0.3">
      <c r="A468" s="40" t="s">
        <v>1294</v>
      </c>
      <c r="B468" s="40" t="s">
        <v>1295</v>
      </c>
      <c r="C468" s="40">
        <v>27</v>
      </c>
      <c r="D468" s="40" t="s">
        <v>124</v>
      </c>
      <c r="E468" s="41">
        <v>41.7</v>
      </c>
      <c r="F468" s="40" t="s">
        <v>116</v>
      </c>
      <c r="G468" s="40">
        <v>2</v>
      </c>
      <c r="H468" s="40" t="s">
        <v>65</v>
      </c>
      <c r="I468" s="40" t="s">
        <v>29</v>
      </c>
      <c r="J468" s="40" t="s">
        <v>40</v>
      </c>
      <c r="K468" s="40" t="s">
        <v>1296</v>
      </c>
      <c r="L468" s="41">
        <v>54474.05</v>
      </c>
      <c r="M468" s="41">
        <v>50814.37</v>
      </c>
      <c r="N468" s="40" t="s">
        <v>75</v>
      </c>
      <c r="O468" s="45" t="s">
        <v>18</v>
      </c>
    </row>
    <row r="469" spans="1:15" ht="15.75" customHeight="1" x14ac:dyDescent="0.3">
      <c r="A469" s="43" t="s">
        <v>1297</v>
      </c>
      <c r="B469" s="43" t="s">
        <v>1298</v>
      </c>
      <c r="C469" s="43">
        <v>30</v>
      </c>
      <c r="D469" s="43" t="s">
        <v>124</v>
      </c>
      <c r="E469" s="44">
        <v>38.9</v>
      </c>
      <c r="F469" s="43" t="s">
        <v>128</v>
      </c>
      <c r="G469" s="43">
        <v>1</v>
      </c>
      <c r="H469" s="43" t="s">
        <v>59</v>
      </c>
      <c r="I469" s="43" t="s">
        <v>32</v>
      </c>
      <c r="J469" s="43" t="s">
        <v>40</v>
      </c>
      <c r="K469" s="43" t="s">
        <v>920</v>
      </c>
      <c r="L469" s="44">
        <v>108598.77</v>
      </c>
      <c r="M469" s="44">
        <v>103829.71</v>
      </c>
      <c r="N469" s="43"/>
      <c r="O469" s="42" t="s">
        <v>16</v>
      </c>
    </row>
    <row r="470" spans="1:15" ht="15.75" customHeight="1" x14ac:dyDescent="0.3">
      <c r="A470" s="40" t="s">
        <v>1299</v>
      </c>
      <c r="B470" s="40" t="s">
        <v>1300</v>
      </c>
      <c r="C470" s="40">
        <v>41</v>
      </c>
      <c r="D470" s="40" t="s">
        <v>120</v>
      </c>
      <c r="E470" s="41">
        <v>35.799999999999997</v>
      </c>
      <c r="F470" s="40" t="s">
        <v>116</v>
      </c>
      <c r="G470" s="40">
        <v>0</v>
      </c>
      <c r="H470" s="40" t="s">
        <v>65</v>
      </c>
      <c r="I470" s="40" t="s">
        <v>30</v>
      </c>
      <c r="J470" s="40" t="s">
        <v>46</v>
      </c>
      <c r="K470" s="40" t="s">
        <v>1301</v>
      </c>
      <c r="L470" s="41">
        <v>22115.75</v>
      </c>
      <c r="M470" s="41">
        <v>14378.25</v>
      </c>
      <c r="N470" s="40" t="s">
        <v>74</v>
      </c>
      <c r="O470" s="46" t="s">
        <v>17</v>
      </c>
    </row>
    <row r="471" spans="1:15" ht="15.75" customHeight="1" x14ac:dyDescent="0.3">
      <c r="A471" s="43" t="s">
        <v>1302</v>
      </c>
      <c r="B471" s="43" t="s">
        <v>1303</v>
      </c>
      <c r="C471" s="43">
        <v>71</v>
      </c>
      <c r="D471" s="43" t="s">
        <v>124</v>
      </c>
      <c r="E471" s="44">
        <v>28.1</v>
      </c>
      <c r="F471" s="43" t="s">
        <v>116</v>
      </c>
      <c r="G471" s="43">
        <v>4</v>
      </c>
      <c r="H471" s="43" t="s">
        <v>59</v>
      </c>
      <c r="I471" s="43" t="s">
        <v>30</v>
      </c>
      <c r="J471" s="43" t="s">
        <v>48</v>
      </c>
      <c r="K471" s="43" t="s">
        <v>486</v>
      </c>
      <c r="L471" s="44">
        <v>9970.33</v>
      </c>
      <c r="M471" s="44">
        <v>6336.02</v>
      </c>
      <c r="N471" s="43" t="s">
        <v>74</v>
      </c>
      <c r="O471" s="45" t="s">
        <v>18</v>
      </c>
    </row>
    <row r="472" spans="1:15" ht="15.75" customHeight="1" x14ac:dyDescent="0.3">
      <c r="A472" s="40" t="s">
        <v>1304</v>
      </c>
      <c r="B472" s="40" t="s">
        <v>1257</v>
      </c>
      <c r="C472" s="40">
        <v>51</v>
      </c>
      <c r="D472" s="40" t="s">
        <v>115</v>
      </c>
      <c r="E472" s="41">
        <v>41.3</v>
      </c>
      <c r="F472" s="40" t="s">
        <v>128</v>
      </c>
      <c r="G472" s="40">
        <v>1</v>
      </c>
      <c r="H472" s="40" t="s">
        <v>61</v>
      </c>
      <c r="I472" s="40" t="s">
        <v>30</v>
      </c>
      <c r="J472" s="40" t="s">
        <v>48</v>
      </c>
      <c r="K472" s="40" t="s">
        <v>1305</v>
      </c>
      <c r="L472" s="41">
        <v>59092.68</v>
      </c>
      <c r="M472" s="41">
        <v>38690.6</v>
      </c>
      <c r="N472" s="40" t="s">
        <v>73</v>
      </c>
      <c r="O472" s="46" t="s">
        <v>17</v>
      </c>
    </row>
    <row r="473" spans="1:15" ht="15.75" customHeight="1" x14ac:dyDescent="0.3">
      <c r="A473" s="43" t="s">
        <v>1306</v>
      </c>
      <c r="B473" s="43" t="s">
        <v>1234</v>
      </c>
      <c r="C473" s="43">
        <v>43</v>
      </c>
      <c r="D473" s="43" t="s">
        <v>120</v>
      </c>
      <c r="E473" s="44">
        <v>38.299999999999997</v>
      </c>
      <c r="F473" s="43" t="s">
        <v>128</v>
      </c>
      <c r="G473" s="43">
        <v>0</v>
      </c>
      <c r="H473" s="43" t="s">
        <v>59</v>
      </c>
      <c r="I473" s="43" t="s">
        <v>29</v>
      </c>
      <c r="J473" s="43" t="s">
        <v>44</v>
      </c>
      <c r="K473" s="43" t="s">
        <v>1307</v>
      </c>
      <c r="L473" s="44">
        <v>15175.85</v>
      </c>
      <c r="M473" s="44">
        <v>7741.41</v>
      </c>
      <c r="N473" s="43"/>
      <c r="O473" s="42" t="s">
        <v>16</v>
      </c>
    </row>
    <row r="474" spans="1:15" ht="15.75" customHeight="1" x14ac:dyDescent="0.3">
      <c r="A474" s="40" t="s">
        <v>1308</v>
      </c>
      <c r="B474" s="40" t="s">
        <v>598</v>
      </c>
      <c r="C474" s="40">
        <v>48</v>
      </c>
      <c r="D474" s="40" t="s">
        <v>115</v>
      </c>
      <c r="E474" s="41">
        <v>43.2</v>
      </c>
      <c r="F474" s="40" t="s">
        <v>116</v>
      </c>
      <c r="G474" s="40">
        <v>1</v>
      </c>
      <c r="H474" s="40" t="s">
        <v>57</v>
      </c>
      <c r="I474" s="40" t="s">
        <v>28</v>
      </c>
      <c r="J474" s="40" t="s">
        <v>46</v>
      </c>
      <c r="K474" s="40" t="s">
        <v>1309</v>
      </c>
      <c r="L474" s="41">
        <v>52032.08</v>
      </c>
      <c r="M474" s="41">
        <v>34815.53</v>
      </c>
      <c r="N474" s="40" t="s">
        <v>73</v>
      </c>
      <c r="O474" s="42" t="s">
        <v>16</v>
      </c>
    </row>
    <row r="475" spans="1:15" ht="15.75" customHeight="1" x14ac:dyDescent="0.3">
      <c r="A475" s="43" t="s">
        <v>1310</v>
      </c>
      <c r="B475" s="43" t="s">
        <v>114</v>
      </c>
      <c r="C475" s="43">
        <v>36</v>
      </c>
      <c r="D475" s="43" t="s">
        <v>124</v>
      </c>
      <c r="E475" s="44">
        <v>28.6</v>
      </c>
      <c r="F475" s="43" t="s">
        <v>116</v>
      </c>
      <c r="G475" s="43">
        <v>2</v>
      </c>
      <c r="H475" s="43" t="s">
        <v>61</v>
      </c>
      <c r="I475" s="43" t="s">
        <v>28</v>
      </c>
      <c r="J475" s="43" t="s">
        <v>50</v>
      </c>
      <c r="K475" s="43" t="s">
        <v>533</v>
      </c>
      <c r="L475" s="44">
        <v>1998.45</v>
      </c>
      <c r="M475" s="44">
        <v>1444.37</v>
      </c>
      <c r="N475" s="43"/>
      <c r="O475" s="42" t="s">
        <v>16</v>
      </c>
    </row>
    <row r="476" spans="1:15" ht="15.75" customHeight="1" x14ac:dyDescent="0.3">
      <c r="A476" s="40" t="s">
        <v>1311</v>
      </c>
      <c r="B476" s="40" t="s">
        <v>1312</v>
      </c>
      <c r="C476" s="40">
        <v>72</v>
      </c>
      <c r="D476" s="40" t="s">
        <v>124</v>
      </c>
      <c r="E476" s="41">
        <v>24.3</v>
      </c>
      <c r="F476" s="40" t="s">
        <v>128</v>
      </c>
      <c r="G476" s="40">
        <v>4</v>
      </c>
      <c r="H476" s="40" t="s">
        <v>65</v>
      </c>
      <c r="I476" s="40" t="s">
        <v>28</v>
      </c>
      <c r="J476" s="40" t="s">
        <v>42</v>
      </c>
      <c r="K476" s="40" t="s">
        <v>1313</v>
      </c>
      <c r="L476" s="41">
        <v>69537.009999999995</v>
      </c>
      <c r="M476" s="41">
        <v>37719.81</v>
      </c>
      <c r="N476" s="40"/>
      <c r="O476" s="42" t="s">
        <v>16</v>
      </c>
    </row>
    <row r="477" spans="1:15" ht="15.75" customHeight="1" x14ac:dyDescent="0.3">
      <c r="A477" s="43" t="s">
        <v>1314</v>
      </c>
      <c r="B477" s="43" t="s">
        <v>1315</v>
      </c>
      <c r="C477" s="43">
        <v>69</v>
      </c>
      <c r="D477" s="43" t="s">
        <v>120</v>
      </c>
      <c r="E477" s="44"/>
      <c r="F477" s="43" t="s">
        <v>116</v>
      </c>
      <c r="G477" s="43">
        <v>2</v>
      </c>
      <c r="H477" s="43" t="s">
        <v>61</v>
      </c>
      <c r="I477" s="43" t="s">
        <v>31</v>
      </c>
      <c r="J477" s="43" t="s">
        <v>48</v>
      </c>
      <c r="K477" s="43" t="s">
        <v>1316</v>
      </c>
      <c r="L477" s="44">
        <v>66761.3</v>
      </c>
      <c r="M477" s="44">
        <v>37220.639999999999</v>
      </c>
      <c r="N477" s="43"/>
      <c r="O477" s="45" t="s">
        <v>18</v>
      </c>
    </row>
    <row r="478" spans="1:15" ht="15.75" customHeight="1" x14ac:dyDescent="0.3">
      <c r="A478" s="40" t="s">
        <v>1317</v>
      </c>
      <c r="B478" s="40" t="s">
        <v>1277</v>
      </c>
      <c r="C478" s="40">
        <v>23</v>
      </c>
      <c r="D478" s="40" t="s">
        <v>124</v>
      </c>
      <c r="E478" s="41">
        <v>34</v>
      </c>
      <c r="F478" s="40" t="s">
        <v>116</v>
      </c>
      <c r="G478" s="40">
        <v>1</v>
      </c>
      <c r="H478" s="40" t="s">
        <v>57</v>
      </c>
      <c r="I478" s="40" t="s">
        <v>30</v>
      </c>
      <c r="J478" s="40" t="s">
        <v>48</v>
      </c>
      <c r="K478" s="40" t="s">
        <v>1318</v>
      </c>
      <c r="L478" s="41">
        <v>8575.0499999999993</v>
      </c>
      <c r="M478" s="41">
        <v>5698.39</v>
      </c>
      <c r="N478" s="40"/>
      <c r="O478" s="45" t="s">
        <v>18</v>
      </c>
    </row>
    <row r="479" spans="1:15" ht="15.75" customHeight="1" x14ac:dyDescent="0.3">
      <c r="A479" s="43" t="s">
        <v>1319</v>
      </c>
      <c r="B479" s="43" t="s">
        <v>1320</v>
      </c>
      <c r="C479" s="43">
        <v>36</v>
      </c>
      <c r="D479" s="43" t="s">
        <v>124</v>
      </c>
      <c r="E479" s="44">
        <v>41.6</v>
      </c>
      <c r="F479" s="43" t="s">
        <v>116</v>
      </c>
      <c r="G479" s="43">
        <v>2</v>
      </c>
      <c r="H479" s="43" t="s">
        <v>63</v>
      </c>
      <c r="I479" s="43" t="s">
        <v>30</v>
      </c>
      <c r="J479" s="43" t="s">
        <v>50</v>
      </c>
      <c r="K479" s="43" t="s">
        <v>700</v>
      </c>
      <c r="L479" s="44">
        <v>56778.76</v>
      </c>
      <c r="M479" s="44">
        <v>39722.75</v>
      </c>
      <c r="N479" s="43"/>
      <c r="O479" s="42" t="s">
        <v>16</v>
      </c>
    </row>
    <row r="480" spans="1:15" ht="15.75" customHeight="1" x14ac:dyDescent="0.3">
      <c r="A480" s="40" t="s">
        <v>1321</v>
      </c>
      <c r="B480" s="40" t="s">
        <v>566</v>
      </c>
      <c r="C480" s="40">
        <v>32</v>
      </c>
      <c r="D480" s="40" t="s">
        <v>115</v>
      </c>
      <c r="E480" s="41">
        <v>37.6</v>
      </c>
      <c r="F480" s="40" t="s">
        <v>128</v>
      </c>
      <c r="G480" s="40">
        <v>2</v>
      </c>
      <c r="H480" s="40" t="s">
        <v>61</v>
      </c>
      <c r="I480" s="40" t="s">
        <v>32</v>
      </c>
      <c r="J480" s="40" t="s">
        <v>49</v>
      </c>
      <c r="K480" s="40" t="s">
        <v>528</v>
      </c>
      <c r="L480" s="41">
        <v>40113.97</v>
      </c>
      <c r="M480" s="41">
        <v>36605.03</v>
      </c>
      <c r="N480" s="40" t="s">
        <v>75</v>
      </c>
      <c r="O480" s="46" t="s">
        <v>17</v>
      </c>
    </row>
    <row r="481" spans="1:15" ht="15.75" customHeight="1" x14ac:dyDescent="0.3">
      <c r="A481" s="43" t="s">
        <v>1322</v>
      </c>
      <c r="B481" s="43" t="s">
        <v>1323</v>
      </c>
      <c r="C481" s="43">
        <v>81</v>
      </c>
      <c r="D481" s="43" t="s">
        <v>124</v>
      </c>
      <c r="E481" s="44">
        <v>39.1</v>
      </c>
      <c r="F481" s="43" t="s">
        <v>116</v>
      </c>
      <c r="G481" s="43">
        <v>3</v>
      </c>
      <c r="H481" s="43" t="s">
        <v>63</v>
      </c>
      <c r="I481" s="43" t="s">
        <v>29</v>
      </c>
      <c r="J481" s="43" t="s">
        <v>48</v>
      </c>
      <c r="K481" s="43" t="s">
        <v>1067</v>
      </c>
      <c r="L481" s="44">
        <v>100762.2</v>
      </c>
      <c r="M481" s="44">
        <v>92923.18</v>
      </c>
      <c r="N481" s="43"/>
      <c r="O481" s="46" t="s">
        <v>17</v>
      </c>
    </row>
    <row r="482" spans="1:15" ht="15.75" customHeight="1" x14ac:dyDescent="0.3">
      <c r="A482" s="40" t="s">
        <v>1324</v>
      </c>
      <c r="B482" s="40" t="s">
        <v>1009</v>
      </c>
      <c r="C482" s="40">
        <v>51</v>
      </c>
      <c r="D482" s="40" t="s">
        <v>120</v>
      </c>
      <c r="E482" s="41">
        <v>26</v>
      </c>
      <c r="F482" s="40" t="s">
        <v>128</v>
      </c>
      <c r="G482" s="40">
        <v>0</v>
      </c>
      <c r="H482" s="40" t="s">
        <v>59</v>
      </c>
      <c r="I482" s="40" t="s">
        <v>30</v>
      </c>
      <c r="J482" s="40" t="s">
        <v>44</v>
      </c>
      <c r="K482" s="40" t="s">
        <v>1325</v>
      </c>
      <c r="L482" s="41">
        <v>49801.38</v>
      </c>
      <c r="M482" s="41">
        <v>45222.94</v>
      </c>
      <c r="N482" s="40" t="s">
        <v>74</v>
      </c>
      <c r="O482" s="42" t="s">
        <v>16</v>
      </c>
    </row>
    <row r="483" spans="1:15" ht="15.75" customHeight="1" x14ac:dyDescent="0.3">
      <c r="A483" s="43" t="s">
        <v>1326</v>
      </c>
      <c r="B483" s="43" t="s">
        <v>406</v>
      </c>
      <c r="C483" s="43">
        <v>41</v>
      </c>
      <c r="D483" s="43" t="s">
        <v>115</v>
      </c>
      <c r="E483" s="44">
        <v>48.8</v>
      </c>
      <c r="F483" s="43" t="s">
        <v>116</v>
      </c>
      <c r="G483" s="43">
        <v>0</v>
      </c>
      <c r="H483" s="43" t="s">
        <v>63</v>
      </c>
      <c r="I483" s="43" t="s">
        <v>32</v>
      </c>
      <c r="J483" s="43" t="s">
        <v>44</v>
      </c>
      <c r="K483" s="43" t="s">
        <v>1327</v>
      </c>
      <c r="L483" s="44">
        <v>29910.33</v>
      </c>
      <c r="M483" s="44">
        <v>24471.9</v>
      </c>
      <c r="N483" s="43"/>
      <c r="O483" s="45" t="s">
        <v>18</v>
      </c>
    </row>
    <row r="484" spans="1:15" ht="15.75" customHeight="1" x14ac:dyDescent="0.3">
      <c r="A484" s="40" t="s">
        <v>1328</v>
      </c>
      <c r="B484" s="40" t="s">
        <v>1217</v>
      </c>
      <c r="C484" s="40">
        <v>68</v>
      </c>
      <c r="D484" s="40" t="s">
        <v>124</v>
      </c>
      <c r="E484" s="41">
        <v>15.7</v>
      </c>
      <c r="F484" s="40" t="s">
        <v>116</v>
      </c>
      <c r="G484" s="40">
        <v>2</v>
      </c>
      <c r="H484" s="40" t="s">
        <v>59</v>
      </c>
      <c r="I484" s="40" t="s">
        <v>31</v>
      </c>
      <c r="J484" s="40" t="s">
        <v>47</v>
      </c>
      <c r="K484" s="40" t="s">
        <v>1329</v>
      </c>
      <c r="L484" s="41">
        <v>19774.32</v>
      </c>
      <c r="M484" s="41">
        <v>19350.52</v>
      </c>
      <c r="N484" s="40"/>
      <c r="O484" s="46" t="s">
        <v>17</v>
      </c>
    </row>
    <row r="485" spans="1:15" ht="15.75" customHeight="1" x14ac:dyDescent="0.3">
      <c r="A485" s="43" t="s">
        <v>1330</v>
      </c>
      <c r="B485" s="43" t="s">
        <v>1252</v>
      </c>
      <c r="C485" s="43">
        <v>41</v>
      </c>
      <c r="D485" s="43" t="s">
        <v>120</v>
      </c>
      <c r="E485" s="44">
        <v>18.3</v>
      </c>
      <c r="F485" s="43" t="s">
        <v>128</v>
      </c>
      <c r="G485" s="43">
        <v>2</v>
      </c>
      <c r="H485" s="43" t="s">
        <v>59</v>
      </c>
      <c r="I485" s="43" t="s">
        <v>32</v>
      </c>
      <c r="J485" s="43" t="s">
        <v>42</v>
      </c>
      <c r="K485" s="43" t="s">
        <v>1331</v>
      </c>
      <c r="L485" s="44">
        <v>100148.15</v>
      </c>
      <c r="M485" s="44">
        <v>71521.490000000005</v>
      </c>
      <c r="N485" s="43" t="s">
        <v>74</v>
      </c>
      <c r="O485" s="42" t="s">
        <v>16</v>
      </c>
    </row>
    <row r="486" spans="1:15" ht="15.75" customHeight="1" x14ac:dyDescent="0.3">
      <c r="A486" s="40" t="s">
        <v>1332</v>
      </c>
      <c r="B486" s="40" t="s">
        <v>423</v>
      </c>
      <c r="C486" s="40">
        <v>76</v>
      </c>
      <c r="D486" s="40" t="s">
        <v>120</v>
      </c>
      <c r="E486" s="41">
        <v>41.6</v>
      </c>
      <c r="F486" s="40" t="s">
        <v>116</v>
      </c>
      <c r="G486" s="40">
        <v>0</v>
      </c>
      <c r="H486" s="40" t="s">
        <v>63</v>
      </c>
      <c r="I486" s="40" t="s">
        <v>32</v>
      </c>
      <c r="J486" s="40" t="s">
        <v>46</v>
      </c>
      <c r="K486" s="40" t="s">
        <v>1265</v>
      </c>
      <c r="L486" s="41">
        <v>21590.73</v>
      </c>
      <c r="M486" s="41">
        <v>18474.240000000002</v>
      </c>
      <c r="N486" s="40"/>
      <c r="O486" s="45" t="s">
        <v>18</v>
      </c>
    </row>
    <row r="487" spans="1:15" ht="15.75" customHeight="1" x14ac:dyDescent="0.3">
      <c r="A487" s="43" t="s">
        <v>1333</v>
      </c>
      <c r="B487" s="43" t="s">
        <v>1095</v>
      </c>
      <c r="C487" s="43">
        <v>36</v>
      </c>
      <c r="D487" s="43" t="s">
        <v>124</v>
      </c>
      <c r="E487" s="44">
        <v>24.3</v>
      </c>
      <c r="F487" s="43" t="s">
        <v>128</v>
      </c>
      <c r="G487" s="43">
        <v>2</v>
      </c>
      <c r="H487" s="43" t="s">
        <v>65</v>
      </c>
      <c r="I487" s="43" t="s">
        <v>29</v>
      </c>
      <c r="J487" s="43" t="s">
        <v>48</v>
      </c>
      <c r="K487" s="43" t="s">
        <v>1334</v>
      </c>
      <c r="L487" s="44">
        <v>107707.63</v>
      </c>
      <c r="M487" s="44">
        <v>91281.32</v>
      </c>
      <c r="N487" s="43"/>
      <c r="O487" s="46" t="s">
        <v>17</v>
      </c>
    </row>
    <row r="488" spans="1:15" ht="15.75" customHeight="1" x14ac:dyDescent="0.3">
      <c r="A488" s="40" t="s">
        <v>1335</v>
      </c>
      <c r="B488" s="40" t="s">
        <v>1336</v>
      </c>
      <c r="C488" s="40">
        <v>50</v>
      </c>
      <c r="D488" s="40" t="s">
        <v>115</v>
      </c>
      <c r="E488" s="41">
        <v>20.9</v>
      </c>
      <c r="F488" s="40" t="s">
        <v>116</v>
      </c>
      <c r="G488" s="40">
        <v>2</v>
      </c>
      <c r="H488" s="40" t="s">
        <v>57</v>
      </c>
      <c r="I488" s="40" t="s">
        <v>30</v>
      </c>
      <c r="J488" s="40" t="s">
        <v>42</v>
      </c>
      <c r="K488" s="40" t="s">
        <v>1337</v>
      </c>
      <c r="L488" s="41">
        <v>44335.23</v>
      </c>
      <c r="M488" s="41">
        <v>23802.21</v>
      </c>
      <c r="N488" s="40"/>
      <c r="O488" s="46" t="s">
        <v>17</v>
      </c>
    </row>
    <row r="489" spans="1:15" ht="15.75" customHeight="1" x14ac:dyDescent="0.3">
      <c r="A489" s="43" t="s">
        <v>1338</v>
      </c>
      <c r="B489" s="43" t="s">
        <v>551</v>
      </c>
      <c r="C489" s="43">
        <v>18</v>
      </c>
      <c r="D489" s="43" t="s">
        <v>120</v>
      </c>
      <c r="E489" s="44">
        <v>27.4</v>
      </c>
      <c r="F489" s="43" t="s">
        <v>116</v>
      </c>
      <c r="G489" s="43">
        <v>3</v>
      </c>
      <c r="H489" s="43" t="s">
        <v>59</v>
      </c>
      <c r="I489" s="43" t="s">
        <v>28</v>
      </c>
      <c r="J489" s="43" t="s">
        <v>42</v>
      </c>
      <c r="K489" s="43" t="s">
        <v>871</v>
      </c>
      <c r="L489" s="44">
        <v>45023.91</v>
      </c>
      <c r="M489" s="44">
        <v>39815.68</v>
      </c>
      <c r="N489" s="43"/>
      <c r="O489" s="45" t="s">
        <v>18</v>
      </c>
    </row>
    <row r="490" spans="1:15" ht="15.75" customHeight="1" x14ac:dyDescent="0.3">
      <c r="A490" s="40" t="s">
        <v>1339</v>
      </c>
      <c r="B490" s="40" t="s">
        <v>1340</v>
      </c>
      <c r="C490" s="40">
        <v>79</v>
      </c>
      <c r="D490" s="40" t="s">
        <v>124</v>
      </c>
      <c r="E490" s="41">
        <v>15.4</v>
      </c>
      <c r="F490" s="40" t="s">
        <v>116</v>
      </c>
      <c r="G490" s="40">
        <v>2</v>
      </c>
      <c r="H490" s="40" t="s">
        <v>57</v>
      </c>
      <c r="I490" s="40" t="s">
        <v>29</v>
      </c>
      <c r="J490" s="40" t="s">
        <v>48</v>
      </c>
      <c r="K490" s="40" t="s">
        <v>1341</v>
      </c>
      <c r="L490" s="41">
        <v>81729.89</v>
      </c>
      <c r="M490" s="41">
        <v>61992.05</v>
      </c>
      <c r="N490" s="40"/>
      <c r="O490" s="42" t="s">
        <v>16</v>
      </c>
    </row>
    <row r="491" spans="1:15" ht="15.75" customHeight="1" x14ac:dyDescent="0.3">
      <c r="A491" s="43" t="s">
        <v>1342</v>
      </c>
      <c r="B491" s="43" t="s">
        <v>915</v>
      </c>
      <c r="C491" s="43">
        <v>63</v>
      </c>
      <c r="D491" s="43" t="s">
        <v>115</v>
      </c>
      <c r="E491" s="44">
        <v>35.299999999999997</v>
      </c>
      <c r="F491" s="43" t="s">
        <v>116</v>
      </c>
      <c r="G491" s="43">
        <v>2</v>
      </c>
      <c r="H491" s="43" t="s">
        <v>63</v>
      </c>
      <c r="I491" s="43" t="s">
        <v>28</v>
      </c>
      <c r="J491" s="43" t="s">
        <v>40</v>
      </c>
      <c r="K491" s="43" t="s">
        <v>350</v>
      </c>
      <c r="L491" s="44">
        <v>2870.32</v>
      </c>
      <c r="M491" s="44">
        <v>2492.02</v>
      </c>
      <c r="N491" s="43"/>
      <c r="O491" s="42" t="s">
        <v>16</v>
      </c>
    </row>
    <row r="492" spans="1:15" ht="15.75" customHeight="1" x14ac:dyDescent="0.3">
      <c r="A492" s="40" t="s">
        <v>1343</v>
      </c>
      <c r="B492" s="40" t="s">
        <v>598</v>
      </c>
      <c r="C492" s="40">
        <v>57</v>
      </c>
      <c r="D492" s="40" t="s">
        <v>120</v>
      </c>
      <c r="E492" s="41">
        <v>30.5</v>
      </c>
      <c r="F492" s="40" t="s">
        <v>116</v>
      </c>
      <c r="G492" s="40">
        <v>2</v>
      </c>
      <c r="H492" s="40" t="s">
        <v>63</v>
      </c>
      <c r="I492" s="40" t="s">
        <v>32</v>
      </c>
      <c r="J492" s="40" t="s">
        <v>47</v>
      </c>
      <c r="K492" s="40" t="s">
        <v>1344</v>
      </c>
      <c r="L492" s="41">
        <v>36367.54</v>
      </c>
      <c r="M492" s="41">
        <v>29510.34</v>
      </c>
      <c r="N492" s="40"/>
      <c r="O492" s="46" t="s">
        <v>17</v>
      </c>
    </row>
    <row r="493" spans="1:15" ht="15.75" customHeight="1" x14ac:dyDescent="0.3">
      <c r="A493" s="43" t="s">
        <v>1345</v>
      </c>
      <c r="B493" s="43" t="s">
        <v>507</v>
      </c>
      <c r="C493" s="43">
        <v>59</v>
      </c>
      <c r="D493" s="43" t="s">
        <v>124</v>
      </c>
      <c r="E493" s="44"/>
      <c r="F493" s="43" t="s">
        <v>116</v>
      </c>
      <c r="G493" s="43">
        <v>0</v>
      </c>
      <c r="H493" s="43" t="s">
        <v>61</v>
      </c>
      <c r="I493" s="43" t="s">
        <v>30</v>
      </c>
      <c r="J493" s="43" t="s">
        <v>42</v>
      </c>
      <c r="K493" s="43" t="s">
        <v>1346</v>
      </c>
      <c r="L493" s="44">
        <v>86455.77</v>
      </c>
      <c r="M493" s="44">
        <v>70049.850000000006</v>
      </c>
      <c r="N493" s="43" t="s">
        <v>73</v>
      </c>
      <c r="O493" s="42" t="s">
        <v>16</v>
      </c>
    </row>
    <row r="494" spans="1:15" ht="15.75" customHeight="1" x14ac:dyDescent="0.3">
      <c r="A494" s="40" t="s">
        <v>1347</v>
      </c>
      <c r="B494" s="40" t="s">
        <v>355</v>
      </c>
      <c r="C494" s="40">
        <v>74</v>
      </c>
      <c r="D494" s="40" t="s">
        <v>120</v>
      </c>
      <c r="E494" s="41">
        <v>42.5</v>
      </c>
      <c r="F494" s="40" t="s">
        <v>116</v>
      </c>
      <c r="G494" s="40">
        <v>2</v>
      </c>
      <c r="H494" s="40" t="s">
        <v>63</v>
      </c>
      <c r="I494" s="40" t="s">
        <v>31</v>
      </c>
      <c r="J494" s="40" t="s">
        <v>50</v>
      </c>
      <c r="K494" s="40" t="s">
        <v>973</v>
      </c>
      <c r="L494" s="41">
        <v>106391.59</v>
      </c>
      <c r="M494" s="41">
        <v>102243.53</v>
      </c>
      <c r="N494" s="40"/>
      <c r="O494" s="46" t="s">
        <v>17</v>
      </c>
    </row>
    <row r="495" spans="1:15" ht="15.75" customHeight="1" x14ac:dyDescent="0.3">
      <c r="A495" s="43" t="s">
        <v>1348</v>
      </c>
      <c r="B495" s="43" t="s">
        <v>1122</v>
      </c>
      <c r="C495" s="43">
        <v>55</v>
      </c>
      <c r="D495" s="43" t="s">
        <v>115</v>
      </c>
      <c r="E495" s="44">
        <v>40.6</v>
      </c>
      <c r="F495" s="43" t="s">
        <v>116</v>
      </c>
      <c r="G495" s="43">
        <v>0</v>
      </c>
      <c r="H495" s="43" t="s">
        <v>63</v>
      </c>
      <c r="I495" s="43" t="s">
        <v>28</v>
      </c>
      <c r="J495" s="43" t="s">
        <v>40</v>
      </c>
      <c r="K495" s="43" t="s">
        <v>1349</v>
      </c>
      <c r="L495" s="44">
        <v>71849.19</v>
      </c>
      <c r="M495" s="44">
        <v>55308.12</v>
      </c>
      <c r="N495" s="43"/>
      <c r="O495" s="45" t="s">
        <v>18</v>
      </c>
    </row>
    <row r="496" spans="1:15" ht="15.75" customHeight="1" x14ac:dyDescent="0.3">
      <c r="A496" s="40" t="s">
        <v>1350</v>
      </c>
      <c r="B496" s="40" t="s">
        <v>1351</v>
      </c>
      <c r="C496" s="40">
        <v>42</v>
      </c>
      <c r="D496" s="40" t="s">
        <v>120</v>
      </c>
      <c r="E496" s="41">
        <v>38.799999999999997</v>
      </c>
      <c r="F496" s="40" t="s">
        <v>116</v>
      </c>
      <c r="G496" s="40">
        <v>0</v>
      </c>
      <c r="H496" s="40" t="s">
        <v>63</v>
      </c>
      <c r="I496" s="40" t="s">
        <v>30</v>
      </c>
      <c r="J496" s="40" t="s">
        <v>49</v>
      </c>
      <c r="K496" s="40" t="s">
        <v>1352</v>
      </c>
      <c r="L496" s="41">
        <v>10105.33</v>
      </c>
      <c r="M496" s="41">
        <v>6253.08</v>
      </c>
      <c r="N496" s="40"/>
      <c r="O496" s="45" t="s">
        <v>18</v>
      </c>
    </row>
    <row r="497" spans="1:15" ht="15.75" customHeight="1" x14ac:dyDescent="0.3">
      <c r="A497" s="43" t="s">
        <v>1353</v>
      </c>
      <c r="B497" s="43" t="s">
        <v>1176</v>
      </c>
      <c r="C497" s="43">
        <v>67</v>
      </c>
      <c r="D497" s="43" t="s">
        <v>115</v>
      </c>
      <c r="E497" s="44">
        <v>47.6</v>
      </c>
      <c r="F497" s="43" t="s">
        <v>116</v>
      </c>
      <c r="G497" s="43">
        <v>2</v>
      </c>
      <c r="H497" s="43" t="s">
        <v>59</v>
      </c>
      <c r="I497" s="43" t="s">
        <v>28</v>
      </c>
      <c r="J497" s="43" t="s">
        <v>47</v>
      </c>
      <c r="K497" s="43" t="s">
        <v>1354</v>
      </c>
      <c r="L497" s="44">
        <v>106320.69</v>
      </c>
      <c r="M497" s="44">
        <v>54327.96</v>
      </c>
      <c r="N497" s="43" t="s">
        <v>73</v>
      </c>
      <c r="O497" s="42" t="s">
        <v>16</v>
      </c>
    </row>
    <row r="498" spans="1:15" ht="15.75" customHeight="1" x14ac:dyDescent="0.3">
      <c r="A498" s="40" t="s">
        <v>1355</v>
      </c>
      <c r="B498" s="40" t="s">
        <v>876</v>
      </c>
      <c r="C498" s="40">
        <v>38</v>
      </c>
      <c r="D498" s="40" t="s">
        <v>115</v>
      </c>
      <c r="E498" s="41">
        <v>25.4</v>
      </c>
      <c r="F498" s="40" t="s">
        <v>128</v>
      </c>
      <c r="G498" s="40">
        <v>1</v>
      </c>
      <c r="H498" s="40" t="s">
        <v>61</v>
      </c>
      <c r="I498" s="40" t="s">
        <v>31</v>
      </c>
      <c r="J498" s="40" t="s">
        <v>47</v>
      </c>
      <c r="K498" s="40" t="s">
        <v>1356</v>
      </c>
      <c r="L498" s="41">
        <v>105783.82</v>
      </c>
      <c r="M498" s="41">
        <v>72064.73</v>
      </c>
      <c r="N498" s="40"/>
      <c r="O498" s="45" t="s">
        <v>18</v>
      </c>
    </row>
    <row r="499" spans="1:15" ht="15.75" customHeight="1" x14ac:dyDescent="0.3">
      <c r="A499" s="43" t="s">
        <v>1357</v>
      </c>
      <c r="B499" s="43" t="s">
        <v>459</v>
      </c>
      <c r="C499" s="43">
        <v>72</v>
      </c>
      <c r="D499" s="43" t="s">
        <v>120</v>
      </c>
      <c r="E499" s="44">
        <v>25.4</v>
      </c>
      <c r="F499" s="43" t="s">
        <v>116</v>
      </c>
      <c r="G499" s="43">
        <v>4</v>
      </c>
      <c r="H499" s="43" t="s">
        <v>63</v>
      </c>
      <c r="I499" s="43" t="s">
        <v>32</v>
      </c>
      <c r="J499" s="43" t="s">
        <v>47</v>
      </c>
      <c r="K499" s="43" t="s">
        <v>1358</v>
      </c>
      <c r="L499" s="44">
        <v>95987.93</v>
      </c>
      <c r="M499" s="44">
        <v>63977</v>
      </c>
      <c r="N499" s="43"/>
      <c r="O499" s="42" t="s">
        <v>16</v>
      </c>
    </row>
    <row r="500" spans="1:15" ht="15.75" customHeight="1" x14ac:dyDescent="0.3">
      <c r="A500" s="40" t="s">
        <v>1359</v>
      </c>
      <c r="B500" s="40" t="s">
        <v>1225</v>
      </c>
      <c r="C500" s="40">
        <v>68</v>
      </c>
      <c r="D500" s="40" t="s">
        <v>115</v>
      </c>
      <c r="E500" s="41">
        <v>41.6</v>
      </c>
      <c r="F500" s="40" t="s">
        <v>128</v>
      </c>
      <c r="G500" s="40">
        <v>1</v>
      </c>
      <c r="H500" s="40" t="s">
        <v>63</v>
      </c>
      <c r="I500" s="40" t="s">
        <v>29</v>
      </c>
      <c r="J500" s="40" t="s">
        <v>40</v>
      </c>
      <c r="K500" s="40" t="s">
        <v>1360</v>
      </c>
      <c r="L500" s="41">
        <v>49526.63</v>
      </c>
      <c r="M500" s="41">
        <v>46551.59</v>
      </c>
      <c r="N500" s="40"/>
      <c r="O500" s="45" t="s">
        <v>18</v>
      </c>
    </row>
    <row r="501" spans="1:15" ht="15.75" customHeight="1" x14ac:dyDescent="0.3">
      <c r="A501" s="43" t="s">
        <v>1361</v>
      </c>
      <c r="B501" s="43" t="s">
        <v>512</v>
      </c>
      <c r="C501" s="43">
        <v>32</v>
      </c>
      <c r="D501" s="43" t="s">
        <v>115</v>
      </c>
      <c r="E501" s="44">
        <v>22.1</v>
      </c>
      <c r="F501" s="43" t="s">
        <v>128</v>
      </c>
      <c r="G501" s="43">
        <v>3</v>
      </c>
      <c r="H501" s="43" t="s">
        <v>57</v>
      </c>
      <c r="I501" s="43" t="s">
        <v>28</v>
      </c>
      <c r="J501" s="43" t="s">
        <v>44</v>
      </c>
      <c r="K501" s="43" t="s">
        <v>1362</v>
      </c>
      <c r="L501" s="44">
        <v>60606.95</v>
      </c>
      <c r="M501" s="44">
        <v>33887.46</v>
      </c>
      <c r="N501" s="43"/>
      <c r="O501" s="42" t="s">
        <v>16</v>
      </c>
    </row>
    <row r="502" spans="1:15" x14ac:dyDescent="0.3">
      <c r="A502" s="47" t="s">
        <v>1363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12</v>
      </c>
      <c r="B1" t="s">
        <v>13</v>
      </c>
      <c r="D1" t="s">
        <v>23</v>
      </c>
      <c r="E1" t="s">
        <v>36</v>
      </c>
      <c r="G1" t="s">
        <v>35</v>
      </c>
      <c r="H1" t="s">
        <v>1364</v>
      </c>
      <c r="J1" t="s">
        <v>54</v>
      </c>
      <c r="K1" t="s">
        <v>36</v>
      </c>
      <c r="M1" t="s">
        <v>104</v>
      </c>
      <c r="N1" t="s">
        <v>36</v>
      </c>
      <c r="P1" t="s">
        <v>1365</v>
      </c>
      <c r="Q1" t="s">
        <v>13</v>
      </c>
    </row>
    <row r="2" spans="1:17" x14ac:dyDescent="0.3">
      <c r="A2" t="s">
        <v>16</v>
      </c>
      <c r="B2">
        <v>1212</v>
      </c>
      <c r="D2" t="s">
        <v>28</v>
      </c>
      <c r="E2">
        <v>427</v>
      </c>
      <c r="G2" t="s">
        <v>40</v>
      </c>
      <c r="H2">
        <v>62063</v>
      </c>
      <c r="J2" t="s">
        <v>57</v>
      </c>
      <c r="K2">
        <v>419</v>
      </c>
      <c r="M2" t="s">
        <v>58</v>
      </c>
      <c r="N2">
        <v>29</v>
      </c>
      <c r="P2" t="s">
        <v>73</v>
      </c>
      <c r="Q2">
        <v>252</v>
      </c>
    </row>
    <row r="3" spans="1:17" x14ac:dyDescent="0.3">
      <c r="A3" t="s">
        <v>17</v>
      </c>
      <c r="B3">
        <v>435</v>
      </c>
      <c r="D3" t="s">
        <v>29</v>
      </c>
      <c r="E3">
        <v>415</v>
      </c>
      <c r="G3" t="s">
        <v>42</v>
      </c>
      <c r="H3">
        <v>59732</v>
      </c>
      <c r="J3" t="s">
        <v>59</v>
      </c>
      <c r="K3">
        <v>413</v>
      </c>
      <c r="M3" t="s">
        <v>60</v>
      </c>
      <c r="N3">
        <v>351</v>
      </c>
      <c r="P3" t="s">
        <v>74</v>
      </c>
      <c r="Q3">
        <v>238</v>
      </c>
    </row>
    <row r="4" spans="1:17" x14ac:dyDescent="0.3">
      <c r="A4" t="s">
        <v>18</v>
      </c>
      <c r="B4">
        <v>378</v>
      </c>
      <c r="D4" t="s">
        <v>30</v>
      </c>
      <c r="E4">
        <v>411</v>
      </c>
      <c r="G4" t="s">
        <v>44</v>
      </c>
      <c r="H4">
        <v>63654</v>
      </c>
      <c r="J4" t="s">
        <v>61</v>
      </c>
      <c r="K4">
        <v>409</v>
      </c>
      <c r="M4" t="s">
        <v>62</v>
      </c>
      <c r="N4">
        <v>457</v>
      </c>
      <c r="P4" t="s">
        <v>75</v>
      </c>
      <c r="Q4">
        <v>233</v>
      </c>
    </row>
    <row r="5" spans="1:17" x14ac:dyDescent="0.3">
      <c r="D5" t="s">
        <v>31</v>
      </c>
      <c r="E5">
        <v>389</v>
      </c>
      <c r="G5" t="s">
        <v>46</v>
      </c>
      <c r="H5">
        <v>60857</v>
      </c>
      <c r="J5" t="s">
        <v>63</v>
      </c>
      <c r="K5">
        <v>397</v>
      </c>
      <c r="M5" t="s">
        <v>64</v>
      </c>
      <c r="N5">
        <v>480</v>
      </c>
    </row>
    <row r="6" spans="1:17" x14ac:dyDescent="0.3">
      <c r="D6" t="s">
        <v>32</v>
      </c>
      <c r="E6">
        <v>383</v>
      </c>
      <c r="G6" t="s">
        <v>47</v>
      </c>
      <c r="H6">
        <v>58934</v>
      </c>
      <c r="J6" t="s">
        <v>65</v>
      </c>
      <c r="K6">
        <v>387</v>
      </c>
      <c r="M6" t="s">
        <v>66</v>
      </c>
      <c r="N6">
        <v>440</v>
      </c>
    </row>
    <row r="7" spans="1:17" x14ac:dyDescent="0.3">
      <c r="G7" t="s">
        <v>48</v>
      </c>
      <c r="H7">
        <v>54912</v>
      </c>
      <c r="M7" t="s">
        <v>67</v>
      </c>
      <c r="N7">
        <v>268</v>
      </c>
    </row>
    <row r="8" spans="1:17" x14ac:dyDescent="0.3">
      <c r="G8" t="s">
        <v>49</v>
      </c>
      <c r="H8">
        <v>64233</v>
      </c>
    </row>
    <row r="9" spans="1:17" x14ac:dyDescent="0.3">
      <c r="G9" t="s">
        <v>50</v>
      </c>
      <c r="H9">
        <v>60613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Insurer Analysis</vt:lpstr>
      <vt:lpstr>Procedure Analysis</vt:lpstr>
      <vt:lpstr>Region &amp; Demographics</vt:lpstr>
      <vt:lpstr>Denial Analysis</vt:lpstr>
      <vt:lpstr>Monthly Trend</vt:lpstr>
      <vt:lpstr>Raw Data</vt:lpstr>
      <vt:lpstr>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ashish waghmare</cp:lastModifiedBy>
  <cp:revision>1</cp:revision>
  <dcterms:created xsi:type="dcterms:W3CDTF">2026-06-03T18:09:41Z</dcterms:created>
  <dcterms:modified xsi:type="dcterms:W3CDTF">2026-06-04T14:02:18Z</dcterms:modified>
  <dc:language>en-US</dc:language>
</cp:coreProperties>
</file>